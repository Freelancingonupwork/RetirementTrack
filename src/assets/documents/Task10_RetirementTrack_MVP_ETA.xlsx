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otenza\Downloads\"/>
    </mc:Choice>
  </mc:AlternateContent>
  <xr:revisionPtr revIDLastSave="0" documentId="13_ncr:1_{60229FA0-B4B1-4A3F-BE24-69096B858DA9}" xr6:coauthVersionLast="47" xr6:coauthVersionMax="47" xr10:uidLastSave="{00000000-0000-0000-0000-000000000000}"/>
  <bookViews>
    <workbookView xWindow="-120" yWindow="-120" windowWidth="21840" windowHeight="13020" xr2:uid="{00000000-000D-0000-FFFF-FFFF00000000}"/>
  </bookViews>
  <sheets>
    <sheet name="MVP ETA" sheetId="1" r:id="rId1"/>
    <sheet name="Team Members" sheetId="2" r:id="rId2"/>
    <sheet name="Third-Party Costs" sheetId="3"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E10" i="3"/>
  <c r="E30" i="1"/>
  <c r="E42" i="1" s="1"/>
  <c r="C22" i="2"/>
  <c r="E9" i="2"/>
  <c r="E236" i="1"/>
  <c r="E252" i="1" s="1"/>
  <c r="E223" i="1"/>
  <c r="E23" i="1" s="1"/>
  <c r="E214" i="1"/>
  <c r="E22" i="1" s="1"/>
  <c r="E202" i="1"/>
  <c r="E21" i="1" s="1"/>
  <c r="E193" i="1"/>
  <c r="E20" i="1" s="1"/>
  <c r="E184" i="1"/>
  <c r="E19" i="1" s="1"/>
  <c r="E175" i="1"/>
  <c r="E18" i="1" s="1"/>
  <c r="E163" i="1"/>
  <c r="E17" i="1" s="1"/>
  <c r="E152" i="1"/>
  <c r="E16" i="1" s="1"/>
  <c r="E142" i="1"/>
  <c r="E15" i="1" s="1"/>
  <c r="E132" i="1"/>
  <c r="E14" i="1" s="1"/>
  <c r="E121" i="1"/>
  <c r="E13" i="1" s="1"/>
  <c r="E110" i="1"/>
  <c r="E12" i="1" s="1"/>
  <c r="E99" i="1"/>
  <c r="E11" i="1" s="1"/>
  <c r="E89" i="1"/>
  <c r="E10" i="1" s="1"/>
  <c r="E82" i="1"/>
  <c r="E9" i="1" s="1"/>
  <c r="E73" i="1"/>
  <c r="E8" i="1" s="1"/>
  <c r="E63" i="1"/>
  <c r="E7" i="1" s="1"/>
  <c r="E54" i="1"/>
  <c r="E6" i="1" s="1"/>
  <c r="E47" i="1"/>
  <c r="E5" i="1" s="1"/>
  <c r="G9" i="2" l="1"/>
  <c r="E44" i="1"/>
  <c r="E4" i="1"/>
  <c r="E24" i="1" s="1"/>
  <c r="E26" i="1" s="1"/>
  <c r="E233" i="1"/>
  <c r="E251" i="1" s="1"/>
  <c r="E253" i="1" s="1"/>
  <c r="E45" i="1" l="1"/>
</calcChain>
</file>

<file path=xl/sharedStrings.xml><?xml version="1.0" encoding="utf-8"?>
<sst xmlns="http://schemas.openxmlformats.org/spreadsheetml/2006/main" count="773" uniqueCount="684">
  <si>
    <t>RETIREMENTTRACK - MVP DEVELOPMENT ETA</t>
  </si>
  <si>
    <t>Planning note: The overall professional delivery framework remains 980 hours. Phase 1 is placed first and allocates 100 hours to dedicated UI/UX Design &amp; Development for Client, Advisor, Firm Admin and Platform Admin. Those 100 hours are reallocated from the original engineering estimate rather than added on top. Engineering is 834 hours and the independent pre-production reviewer is 46 hours. Third-party subscription/usage costs remain separate.</t>
  </si>
  <si>
    <t>Phase</t>
  </si>
  <si>
    <t>Epic</t>
  </si>
  <si>
    <t>Workstream</t>
  </si>
  <si>
    <t>Estimated Hours</t>
  </si>
  <si>
    <t>Phase 1</t>
  </si>
  <si>
    <t>UI/UX</t>
  </si>
  <si>
    <t>UI/UX Design &amp; Development – Admin, Advisor, Client &amp; Platform Admin Experiences</t>
  </si>
  <si>
    <t>Phase 2</t>
  </si>
  <si>
    <t>1</t>
  </si>
  <si>
    <t>Foundation, Repo, IaC &amp; Environments</t>
  </si>
  <si>
    <t>2</t>
  </si>
  <si>
    <t>Clerk Pro Identity &amp; MFA</t>
  </si>
  <si>
    <t>3</t>
  </si>
  <si>
    <t>Tenancy, Firm, Roles &amp; Advisor Assignment</t>
  </si>
  <si>
    <t>Phase 3</t>
  </si>
  <si>
    <t>4</t>
  </si>
  <si>
    <t>Household, Client &amp; Privacy Model</t>
  </si>
  <si>
    <t>5</t>
  </si>
  <si>
    <t>White-Label &amp; Firm Configuration</t>
  </si>
  <si>
    <t>6</t>
  </si>
  <si>
    <t>Onboarding &amp; Invitations</t>
  </si>
  <si>
    <t>Phase 4</t>
  </si>
  <si>
    <t>7</t>
  </si>
  <si>
    <t>Client Dashboard, Personalization, Journey &amp; Progress Meter</t>
  </si>
  <si>
    <t>8</t>
  </si>
  <si>
    <t>Planning Updates</t>
  </si>
  <si>
    <t>9</t>
  </si>
  <si>
    <t>Assessments, Scoring &amp; History</t>
  </si>
  <si>
    <t>10</t>
  </si>
  <si>
    <t>Engagement, Outstanding Items &amp; Advisor Exceptions</t>
  </si>
  <si>
    <t>Phase 5</t>
  </si>
  <si>
    <t>11</t>
  </si>
  <si>
    <t>Advisor Dashboard &amp; Exception Handling</t>
  </si>
  <si>
    <t>12</t>
  </si>
  <si>
    <t>Education Library &amp; Contextual Surfacing</t>
  </si>
  <si>
    <t>13</t>
  </si>
  <si>
    <t>Milestones, Reminders, Communications &amp; Temporal Cloud</t>
  </si>
  <si>
    <t>Phase 6</t>
  </si>
  <si>
    <t>14</t>
  </si>
  <si>
    <t>Benchmarking MVP</t>
  </si>
  <si>
    <t>15</t>
  </si>
  <si>
    <t>Firm / Platform Administration Basics</t>
  </si>
  <si>
    <t>16</t>
  </si>
  <si>
    <t>Audit, Security, Data Lifecycle &amp; Portability</t>
  </si>
  <si>
    <t>Monitoring &amp; Operational Readiness</t>
  </si>
  <si>
    <t>Phase 7</t>
  </si>
  <si>
    <t>18</t>
  </si>
  <si>
    <t>QA, UAT, Accessibility, Security &amp; Performance</t>
  </si>
  <si>
    <t>Production Launch &amp; Handoff</t>
  </si>
  <si>
    <t>TOTAL MVP ENGINEERING ESTIMATE</t>
  </si>
  <si>
    <t>Phase 7 - External Review</t>
  </si>
  <si>
    <t>Independent Pre-Production Security &amp; Architecture Reviewer – Full Implementation Verification</t>
  </si>
  <si>
    <t>TOTAL PROFESSIONAL DELIVERY EFFORT</t>
  </si>
  <si>
    <t>PHASE 1 – UI/UX DESIGN &amp; DEVELOPMENT</t>
  </si>
  <si>
    <t>Scope / Phase</t>
  </si>
  <si>
    <t>Epic Detail / Description</t>
  </si>
  <si>
    <t>Hours</t>
  </si>
  <si>
    <t>Notes</t>
  </si>
  <si>
    <t>Epic UI/UX</t>
  </si>
  <si>
    <t>Design and finalize the implementation-ready UI/UX for all four MVP roles—Client, Advisor, Firm Admin and Platform Admin—before significant frontend development. Establish the shared visual/design system, role-specific dashboards and primary workflows, responsive/accessibility behavior, clickable high-fidelity prototypes, and developer handoff specifications so engineers implement an approved consumer-grade experience rather than designing screens during coding.</t>
  </si>
  <si>
    <t>Parent Phase 1 total; detailed UI/UX tasks below.</t>
  </si>
  <si>
    <t>UX.1</t>
  </si>
  <si>
    <t>Review the final Discovery requirements, existing prototype/materials and role permissions; define the end-to-end information architecture, navigation, dashboard goals, role journeys and cross-role handoffs for Client, Advisor, Firm Admin and Platform Admin.</t>
  </si>
  <si>
    <t>Creates the approved UX blueprint for all four MVP roles.</t>
  </si>
  <si>
    <t>UX.2</t>
  </si>
  <si>
    <t>Create the RetirementTrack design system and consumer visual direction, including typography, color/firm-brand application, spacing, navigation, cards, forms, tables/lists, buttons, alerts, progress indicators, retirement/age timeline patterns, milestones, empty/loading/error states, responsive breakpoints and accessibility-conscious component states.</t>
  </si>
  <si>
    <t>Reusable design language for the full MVP.</t>
  </si>
  <si>
    <t>UX.3</t>
  </si>
  <si>
    <t>Create high-fidelity Client onboarding and activation designs covering invitation acceptance, Clerk sign-in/activation, MFA, consent/notices, household-sharing acknowledgement, minimum profile, spouse/partner context, advisor identity and transition into the first personalized dashboard.</t>
  </si>
  <si>
    <t>Principal Client first-use experience.</t>
  </si>
  <si>
    <t>UX.4</t>
  </si>
  <si>
    <t>Create high-fidelity Client dashboard and retirement-journey designs for first-login and returning states, including visual progress, age/retirement timeline, milestones, accomplishments, relevant priorities/opportunities, Planning Update/assessment cards, education, notifications and Request Advisor Follow-Up; show how the experience visibly evolves after meaningful activity.</t>
  </si>
  <si>
    <t>Primary consumer experience emphasized by Grant.</t>
  </si>
  <si>
    <t>UX.5</t>
  </si>
  <si>
    <t>Design the Client Planning Update and assessment experiences: fast 'No meaningful change' and branched 'Yes, something changed' Planning Update paths, prior-value review, save/resume, review/completion/history, assessment selection/start/resume, question patterns, per-assessment results/history and advisor-contact cues without an overall financial-readiness score.</t>
  </si>
  <si>
    <t>Covers the two principal recurring structured client workflows.</t>
  </si>
  <si>
    <t>UX.6</t>
  </si>
  <si>
    <t>Design the Client Learning Library, contextual education, milestones/reminders and Request Advisor Follow-Up experiences, including browse/search/filter, content detail, recommended/fresh items, informational versus due-state treatment and email/in-app communication touchpoints without making the product feel like a task manager.</t>
  </si>
  <si>
    <t>Supports recurring engagement and discovery.</t>
  </si>
  <si>
    <t>UX.7</t>
  </si>
  <si>
    <t>Design the Advisor dashboard and assigned-client experience in high fidelity, including client/household search and filters, client detail, separate Engagement &amp; Accomplishments / Outstanding Client Items / Advisor Attention views, Planning Update and assessment change context, exception acknowledgement/resolution and client-requested follow-up.</t>
  </si>
  <si>
    <t>Advisor experience is optimized for exception management.</t>
  </si>
  <si>
    <t>UX.8</t>
  </si>
  <si>
    <t>Design the Firm Admin experience for users/invitations, advisor-client assignments, branding, enabled RetirementTrack assessments, approved content availability, communication modes and bounded tenant configuration, while keeping sensitive client information outside default Firm Admin visibility.</t>
  </si>
  <si>
    <t>Firm-scoped administration; no generalized builder or CMS.</t>
  </si>
  <si>
    <t>UX.9</t>
  </si>
  <si>
    <t>Design the Platform Admin experience for tenant lifecycle, approved assessment versions, platform-curated content, benchmark dataset/version management, platform configuration and controlled support/operations, with clear confirmation, guardrail and audit-aware states for privileged actions.</t>
  </si>
  <si>
    <t>Platform-level controls remain least-privilege and auditable.</t>
  </si>
  <si>
    <t>UX.10</t>
  </si>
  <si>
    <t>Define responsive and accessibility-critical behavior across the principal Client, Advisor, Firm Admin and Platform Admin flows, including desktop/tablet/mobile adaptations where applicable, keyboard/focus behavior, readable typography/contrast, validation/errors, loading/empty states and interaction patterns appropriate for older clients.</t>
  </si>
  <si>
    <t>Accessibility and responsive behavior specified before implementation.</t>
  </si>
  <si>
    <t>UX.11</t>
  </si>
  <si>
    <t>Assemble the principal role experiences into clickable high-fidelity prototypes, run stakeholder review and a bounded revision cycle, finalize developer-ready annotations/assets/component states, document unresolved assumptions and complete the formal design handoff before significant frontend development begins.</t>
  </si>
  <si>
    <t>Formal implementation handoff gate.</t>
  </si>
  <si>
    <t>PHASE 1 UI/UX TOTAL</t>
  </si>
  <si>
    <t>UI/UX PLANNING RATE (USD/hr)</t>
  </si>
  <si>
    <t>Planning assumption; confirm final designer rate before commercial commitment.</t>
  </si>
  <si>
    <t>PHASE 1 UI/UX ESTIMATED COST (USD)</t>
  </si>
  <si>
    <t>100 hrs x $25/hr planning rate = $2,500.</t>
  </si>
  <si>
    <t>100 UI/UX + 834 Engineering + 46 Independent Reviewer = 980 hours. Third-party costs are additional.</t>
  </si>
  <si>
    <t>Phase 2 – Foundation, Identity &amp; Tenancy</t>
  </si>
  <si>
    <t>Epic 1</t>
  </si>
  <si>
    <t>Parent Epic total; detailed rows below.</t>
  </si>
  <si>
    <t>1.1</t>
  </si>
  <si>
    <t>Create the RetirementTrack-owned Git repository and .NET/React solution structure, including API, React web app, Temporal Worker, shared application/domain projects, test projects, environment configuration files, coding standards, and baseline build scripts.</t>
  </si>
  <si>
    <t>Sets the implementation foundation.</t>
  </si>
  <si>
    <t>1.2</t>
  </si>
  <si>
    <t>Create reusable Bicep templates for Azure resource groups, App Service/API hosting, Static Web App or web hosting, Azure SQL, Blob Storage, Key Vault, Application Insights/Azure Monitor, worker hosting, networking/configuration dependencies, and Dev/QA-Staging/Production parameter files.</t>
  </si>
  <si>
    <t>Infrastructure remains reproducible and client-controlled.</t>
  </si>
  <si>
    <t>1.3</t>
  </si>
  <si>
    <t>Implement CI/CD pipelines that restore/build the .NET and React applications, run automated tests, package artifacts, validate infrastructure changes, deploy infrastructure and applications by environment, and support controlled production approvals and rollback/roll-forward.</t>
  </si>
  <si>
    <t>Includes build/test/deployment stages.</t>
  </si>
  <si>
    <t>1.4</t>
  </si>
  <si>
    <t>Implement environment-specific application configuration using Azure App Configuration/settings, Key Vault secret references, Managed Identity access, connection-string handling, and startup validation so no production credentials are stored in source control or developer machines.</t>
  </si>
  <si>
    <t>No production secrets stored in source control.</t>
  </si>
  <si>
    <t>1.5</t>
  </si>
  <si>
    <t>Create Azure RBAC groups/service principals or workload identities for deployment and operations, assign least-privilege permissions, document account ownership/recovery, and verify RetirementTrack retains control of Azure, Git, Clerk, Temporal, DNS and production deployment access.</t>
  </si>
  <si>
    <t>RetirementTrack retains production ownership/recovery.</t>
  </si>
  <si>
    <t>Epic 2</t>
  </si>
  <si>
    <t>2.1</t>
  </si>
  <si>
    <t>Configure Clerk Pro for Development, QA/Staging and Production, including allowed domains/redirects, organization or application settings, session policy, email templates, environment keys, and secure backend token verification.</t>
  </si>
  <si>
    <t>RetirementTrack-owned production account.</t>
  </si>
  <si>
    <t>2.2</t>
  </si>
  <si>
    <t>Implement invitation and account-activation flows for client, advisor, firm-admin and platform-admin users, including secure invite tokens, intended tenant/role context, expiry handling, activation confirmation, and redirect into the correct onboarding path.</t>
  </si>
  <si>
    <t>Includes secure invitation validation.</t>
  </si>
  <si>
    <t>2.3</t>
  </si>
  <si>
    <t>Create the application-owned User, ExternalIdentity and TenantMembership mappings that link Clerk user IDs to RetirementTrack users, firms, roles and status; synchronize allowed identity changes without making Clerk the source of business authorization.</t>
  </si>
  <si>
    <t>Authorization remains application-owned.</t>
  </si>
  <si>
    <t>2.4</t>
  </si>
  <si>
    <t>Implement production client MFA enforcement using Clerk-supported factors/passkeys, enrollment prompts, recovery behavior, protected-route checks, and policy validation before clients can access sensitive RetirementTrack data.</t>
  </si>
  <si>
    <t>Use lower-friction supported MFA/passkey options where appropriate.</t>
  </si>
  <si>
    <t>2.5</t>
  </si>
  <si>
    <t>Implement mandatory MFA for advisors, firm administrators and platform administrators, including enrollment enforcement, privileged-route checks and denial of sensitive operations when MFA requirements are not satisfied.</t>
  </si>
  <si>
    <t>Privileged/sensitive roles require MFA.</t>
  </si>
  <si>
    <t>2.6</t>
  </si>
  <si>
    <t>Implement session expiry, sign-out, disabled/suspended user handling, password/account recovery, duplicate/invalid identity states, re-invitation, and user-friendly authentication error flows across React and API layers.</t>
  </si>
  <si>
    <t>Covers common identity failure states.</t>
  </si>
  <si>
    <t>2.7</t>
  </si>
  <si>
    <t>Add automated authentication and authorization integration tests covering valid/invalid tokens, expired sessions, disabled accounts, MFA-required paths, role boundaries and protected API/routes.</t>
  </si>
  <si>
    <t>Includes protected-route/API validation.</t>
  </si>
  <si>
    <t>Epic 3</t>
  </si>
  <si>
    <t>3.1</t>
  </si>
  <si>
    <t>Create FirmTenant, UserMembership, Role and membership-status entities/tables with TenantId keys, indexes, audit fields and EF Core mappings to establish the firm as the primary SaaS security boundary.</t>
  </si>
  <si>
    <t>FirmTenant is the primary tenant/security boundary.</t>
  </si>
  <si>
    <t>3.2</t>
  </si>
  <si>
    <t>Implement server-side tenant resolution for every authenticated API request using the logged-in identity/membership context; reject missing, inactive or conflicting tenancy and never authorize a request from a browser-supplied TenantId alone.</t>
  </si>
  <si>
    <t>Never trust browser-supplied TenantId as authorization proof.</t>
  </si>
  <si>
    <t>3.3</t>
  </si>
  <si>
    <t>Implement application roles for Client, Advisor, Firm Admin and Platform Admin, including membership CRUD, activation/deactivation and server-side permission checks for operations allowed to each role.</t>
  </si>
  <si>
    <t>Client, Advisor, Firm Admin and Platform Admin.</t>
  </si>
  <si>
    <t>3.4</t>
  </si>
  <si>
    <t>Create advisor-to-household/client assignment tables and APIs, including assignment/reassignment history and effective status so advisor access depends on an explicit relationship rather than the Advisor role alone.</t>
  </si>
  <si>
    <t>Advisor role alone does not grant client access.</t>
  </si>
  <si>
    <t>3.5</t>
  </si>
  <si>
    <t>Apply tenant-aware EF Core query filters, TenantId assignment on writes, unique/index constraints and validation to all tenant-owned entities so read/write operations cannot cross firm boundaries.</t>
  </si>
  <si>
    <t>Core cross-tenant data-isolation controls.</t>
  </si>
  <si>
    <t>3.6</t>
  </si>
  <si>
    <t>Implement reusable authorization handlers/policies that verify tenant membership plus household/client/advisor relationship before returning or changing protected resources; apply them to API endpoints and background operations.</t>
  </si>
  <si>
    <t>Server-side authorization on protected operations.</t>
  </si>
  <si>
    <t>3.7</t>
  </si>
  <si>
    <t>Create security regression tests that attempt cross-tenant reads, writes, ID enumeration and background-workflow access against core entities and verify all unauthorized requests are blocked.</t>
  </si>
  <si>
    <t>Security-critical regression coverage.</t>
  </si>
  <si>
    <t>Phase 3 – Client, Household &amp; Onboarding Foundation</t>
  </si>
  <si>
    <t>Epic 4</t>
  </si>
  <si>
    <t>4.1</t>
  </si>
  <si>
    <t>Create ClientProfile, Household and HouseholdMember entities, EF Core mappings and APIs for household creation, member linking, profile status and household-level retirement-planning context.</t>
  </si>
  <si>
    <t>Supports household-oriented retirement planning.</t>
  </si>
  <si>
    <t>4.2</t>
  </si>
  <si>
    <t>Support separate authenticated user identities for spouses/partners while linking them to one household; retain individual user IDs, contact details, acknowledgements and activity attribution.</t>
  </si>
  <si>
    <t>Identity remains individual even when household experience is shared.</t>
  </si>
  <si>
    <t>4.3</t>
  </si>
  <si>
    <t>Implement the default shared-household visibility rules so approved household information and planning progress are visible to authorized household members after required acknowledgement.</t>
  </si>
  <si>
    <t>Confirmed business direction.</t>
  </si>
  <si>
    <t>4.4</t>
  </si>
  <si>
    <t>Implement a bounded IndividualPrivate visibility flag and authorization rule for designated profile/update/assessment information that must remain visible only to the individual and authorized professionals.</t>
  </si>
  <si>
    <t>Bounded privacy capability; no complex spouse permission engine.</t>
  </si>
  <si>
    <t>4.5</t>
  </si>
  <si>
    <t>Add only approved high-level financial-planning profile fields such as account category, ownership and approximate/current balance ranges or values; explicitly exclude account credentials, transaction feeds, holdings and account aggregation.</t>
  </si>
  <si>
    <t>No credentials, holdings, transactions or account aggregation.</t>
  </si>
  <si>
    <t>4.6</t>
  </si>
  <si>
    <t>Record household-sharing acknowledgement, effective date, actor and policy/version references in auditable records and expose current acknowledgement status to onboarding/admin flows.</t>
  </si>
  <si>
    <t>Supports household privacy expectations.</t>
  </si>
  <si>
    <t>4.7</t>
  </si>
  <si>
    <t>Add household/privacy integration tests covering shared visibility, IndividualPrivate data, spouse/partner access, advisor assignment, tenant isolation and unauthorized direct-resource access.</t>
  </si>
  <si>
    <t>Includes shared/private access scenarios.</t>
  </si>
  <si>
    <t>Epic 5</t>
  </si>
  <si>
    <t>5.1</t>
  </si>
  <si>
    <t>Create firm branding settings for logo asset, selected primary/secondary colors, firm display name and advisor identity/contact fields, with validation and secure file storage references.</t>
  </si>
  <si>
    <t>MVP white-label scope.</t>
  </si>
  <si>
    <t>5.2</t>
  </si>
  <si>
    <t>Apply tenant branding at runtime in the React application using firm configuration, including logo, approved color tokens and branded client-facing header/login/dashboard surfaces without generating tenant-specific builds.</t>
  </si>
  <si>
    <t>No tenant-specific builds.</t>
  </si>
  <si>
    <t>5.3</t>
  </si>
  <si>
    <t>Display the assigned advisor name, photo if provided, firm identity and approved contact options on relevant client screens such as dashboard, help/contact and advisor-request flows.</t>
  </si>
  <si>
    <t>Supports firm/advisor client relationship.</t>
  </si>
  <si>
    <t>5.4</t>
  </si>
  <si>
    <t>Implement bounded firm-level feature/configuration flags needed by MVP (enabled assessments/content, communication mode and supported options) using explicit settings rather than a generic rules/configuration engine.</t>
  </si>
  <si>
    <t>Avoid generalized configuration engine.</t>
  </si>
  <si>
    <t>5.5</t>
  </si>
  <si>
    <t>Add validation and regression tests to confirm invalid branding/configuration is rejected and tenant-specific settings cannot leak across firms.</t>
  </si>
  <si>
    <t>Basic regression coverage.</t>
  </si>
  <si>
    <t>Epic 6</t>
  </si>
  <si>
    <t>6.1</t>
  </si>
  <si>
    <t>Implement firm-admin workflows and APIs to invite clients and advisors with intended tenant, role, advisor/household relationship and onboarding context captured at invite creation.</t>
  </si>
  <si>
    <t>Creates intended membership and relationship context.</t>
  </si>
  <si>
    <t>6.2</t>
  </si>
  <si>
    <t>Implement activation processing that validates the invitation, creates/links the Clerk identity, application user, membership and initial role, then routes the user into the appropriate onboarding flow.</t>
  </si>
  <si>
    <t>Connects Clerk identity to RetirementTrack user.</t>
  </si>
  <si>
    <t>6.3</t>
  </si>
  <si>
    <t>Build minimum client profile onboarding screens/APIs to collect only the demographic, retirement-stage and planning context required by MVP personalization and milestone rules.</t>
  </si>
  <si>
    <t>Collect only approved fields.</t>
  </si>
  <si>
    <t>6.4</t>
  </si>
  <si>
    <t>Add the household-sharing acknowledgement step, persist acknowledgement/version metadata and prevent shared-household functionality until the required consent/acknowledgement is complete.</t>
  </si>
  <si>
    <t>Required before shared household experience.</t>
  </si>
  <si>
    <t>6.5</t>
  </si>
  <si>
    <t>Implement advisor/household relationship confirmation or assignment during onboarding so authorization and client/advisor experiences use the correct relationship from first login.</t>
  </si>
  <si>
    <t>Establishes correct access/context.</t>
  </si>
  <si>
    <t>6.6</t>
  </si>
  <si>
    <t>Implement invitation expiration, resend/revoke, already-used invite, invalid link and account-conflict states with firm-admin visibility and appropriate user messages.</t>
  </si>
  <si>
    <t>Operationally complete invite flow.</t>
  </si>
  <si>
    <t>6.7</t>
  </si>
  <si>
    <t>Add automated invitation/onboarding tests covering new users, existing identities, household linking, expiry/resend, invalid role/tenant combinations and failed activation.</t>
  </si>
  <si>
    <t>Happy path and failure coverage.</t>
  </si>
  <si>
    <t>Phase 4 – Core Client Journey &amp; Engagement Model</t>
  </si>
  <si>
    <t>Epic 7</t>
  </si>
  <si>
    <t>7.1</t>
  </si>
  <si>
    <t>Build the responsive production client application shell and navigation for Dashboard, Planning Updates, Assessments, Learning Library, Progress/Journey, reminders/milestones and advisor contact, including authenticated routing and loading/error/empty states.</t>
  </si>
  <si>
    <t>Foundation for personalized experience.</t>
  </si>
  <si>
    <t>7.2</t>
  </si>
  <si>
    <t>Implement the client-priority service/API that selects a small number of relevant items across time-sensitive milestones, planning opportunities, education/freshness content, Planning Update opportunities, assessments and client/advisor-requested follow-up. Preserve configurable precedence and reason metadata so the dashboard feels useful and engaging rather than like a dense required-task list.</t>
  </si>
  <si>
    <t>Grant refinement: preserve flexible priority rules and avoid an overly task-oriented experience.</t>
  </si>
  <si>
    <t>7.3</t>
  </si>
  <si>
    <t>Implement deterministic personalization rules that use Client Profile, retirement stage, assessment results, Planning Updates, milestones and content metadata to decide what to surface; persist/return the reason or source for each personalized item.</t>
  </si>
  <si>
    <t>No AI recommendation engine in MVP.</t>
  </si>
  <si>
    <t>7.4</t>
  </si>
  <si>
    <t>Implement the retirement-journey model and consumer-facing UI showing areas addressed, accomplishments, remaining planning areas, age/retirement timeline, upcoming milestones and what is relevant now. Derive state from existing workflow/activity data so the experience visibly evolves as clients engage.</t>
  </si>
  <si>
    <t>Consumer UX should emphasize visual journey/progress, timeline, milestones and accomplishments.</t>
  </si>
  <si>
    <t>7.5</t>
  </si>
  <si>
    <t>Implement the bounded RetirementTrack Progress indicator as a visual measure of how much of the client’s applicable retirement-planning journey has been addressed. Show completed/addressed areas, remaining areas and approaching milestones; do not calculate financial adequacy or imply that RetirementTrack has determined whether the client is financially ready to retire.</t>
  </si>
  <si>
    <t>Visible planning progress only; no overall financial-readiness score.</t>
  </si>
  <si>
    <t>7.6</t>
  </si>
  <si>
    <t>Implement age/retirement timeline and milestone components driven by age, date, retirement stage and client context. Surface relevant planning opportunities, considerations, education or follow-up actions without treating every milestone as a mandatory task.</t>
  </si>
  <si>
    <t>Milestones/opportunities first; required actions only where explicitly defined.</t>
  </si>
  <si>
    <t>7.7</t>
  </si>
  <si>
    <t>Implement client-facing accomplishment and outstanding-item sections from engagement/outstanding domain records so clients can see completed activities and what still requires action without exposing advisor-only exception details.</t>
  </si>
  <si>
    <t>Progress and visibility remain separate from advisor exceptions.</t>
  </si>
  <si>
    <t>7.8</t>
  </si>
  <si>
    <t>Implement stage-aware labels/content states for pre-retirement (“Am I prepared?”) and in-retirement (“Am I staying on track?”), using the same journey engine with different applicable milestones and education prompts.</t>
  </si>
  <si>
    <t>Same engagement foundation supports both stages.</t>
  </si>
  <si>
    <t>7.9</t>
  </si>
  <si>
    <t>Add unit/integration/UI tests for dashboard priority ordering, personalization rules, progress-meter calculations, journey state, stage switching, empty/error states and primary accessibility requirements.</t>
  </si>
  <si>
    <t>Includes reason/source traceability.</t>
  </si>
  <si>
    <t>Epic 8</t>
  </si>
  <si>
    <t>8.1</t>
  </si>
  <si>
    <t>Create versioned PlanningUpdateDefinition, topic/section definitions, change-check prompts and effective-date metadata so RetirementTrack can periodically offer an easy “Has anything meaningful changed?” check-in while preserving the exact version used for each completed response.</t>
  </si>
  <si>
    <t>Planning Update is a lightweight recurring change-check, not a mandatory annual questionnaire.</t>
  </si>
  <si>
    <t>8.2</t>
  </si>
  <si>
    <t>Create PlanningUpdateInstance/status data model and APIs for Offered/No Change/In Progress/Completed/Removed states, optional next-offer timing, event-trigger metadata and advisor-request source. The workflow must support periodic platform offers, contextual/event triggers and optional advisor requests without requiring advisor initiation.</t>
  </si>
  <si>
    <t>Supports periodic, event-triggered and optional advisor-requested updates.</t>
  </si>
  <si>
    <t>8.3</t>
  </si>
  <si>
    <t>Build the client Planning Update UX with a quick initial “No meaningful change” path and a “Yes, something changed” path that opens only the relevant sections/topics. Include validation, save/resume where needed, confirmation and responsive/mobile behavior.</t>
  </si>
  <si>
    <t>No-change response should be fast; changed responses branch into relevant sections.</t>
  </si>
  <si>
    <t>8.4</t>
  </si>
  <si>
    <t>When the client reports a change, prepopulate approved prior profile/update values for the applicable sections, clearly distinguish known information from new input, and preserve household/private visibility rules. Do not force unrelated sections to be re-entered.</t>
  </si>
  <si>
    <t>Reduces repetitive data entry.</t>
  </si>
  <si>
    <t>8.5</t>
  </si>
  <si>
    <t>Implement versioned comparison rules that compare the current submission with the relevant prior completed update and produce structured change results for configured fields/material-change conditions.</t>
  </si>
  <si>
    <t>Explicit/versioned business rules.</t>
  </si>
  <si>
    <t>8.6</t>
  </si>
  <si>
    <t>Evaluate reported changes against explicitly configured material-condition and client-request rules. Create/update AdvisorException records only when an approved material condition or explicit client request warrants advisor attention; routine check-ins and no-change responses must not create advisor chores.</t>
  </si>
  <si>
    <t>Recurring engagement should not create recurring advisor work.</t>
  </si>
  <si>
    <t>8.7</t>
  </si>
  <si>
    <t>Implement client and advisor history views showing completed Planning Updates, completion date/version and a concise prior/current change summary with role-appropriate detail.</t>
  </si>
  <si>
    <t>Preserve prior completed states.</t>
  </si>
  <si>
    <t>8.8</t>
  </si>
  <si>
    <t>Connect Planning Update completion/no-change/removal to Temporal workflows so applicable reminders stop and the next lightweight check-in opportunity can be scheduled according to configurable cadence, event triggers or product rules rather than a hard-coded annual cycle.</t>
  </si>
  <si>
    <t>No fixed annual requirement; timing remains configurable and context-aware.</t>
  </si>
  <si>
    <t>8.9</t>
  </si>
  <si>
    <t>Add automated tests for definition versioning, save/resume, validation, recurrence, prior/current comparison, exception generation, reminder cancellation and historical reproducibility.</t>
  </si>
  <si>
    <t>Includes retry/failure scenarios.</t>
  </si>
  <si>
    <t>Epic 9</t>
  </si>
  <si>
    <t>9.1</t>
  </si>
  <si>
    <t>Create a platform-maintained, versioned catalog of RetirementTrack assessments with AssessmentDefinition, Question, AnswerOption and result-rule metadata. Firms can enable/disable which approved assessments they make available. Do not build firm-created assessments or a generalized form-builder UI, and do not hard-limit MVP to exactly 2–3 assessments.</t>
  </si>
  <si>
    <t>Grant refinement: defined RetirementTrack assessment catalog; firm selection only; no firm assessment builder; no exact assessment-count limit.</t>
  </si>
  <si>
    <t>9.2</t>
  </si>
  <si>
    <t>Build reusable assessment rendering for the specific input types needed by the approved assessments (for example single choice, multi-choice, yes/no, numeric/range/text where approved) with validation and limited predefined branching.</t>
  </si>
  <si>
    <t>Includes simple predefined branching where needed.</t>
  </si>
  <si>
    <t>9.3</t>
  </si>
  <si>
    <t>Implement deterministic scoring/category/flag services independently for each approved assessment using versioned rules and thresholds. Preserve reproducibility of historical results and do not combine assessment outputs into one overall RetirementTrack financial-readiness score.</t>
  </si>
  <si>
    <t>Per-assessment scoring is allowed; no overall “ready for retirement” score.</t>
  </si>
  <si>
    <t>9.4</t>
  </si>
  <si>
    <t>Build client result screens that show the assessment outcome/category, plain-language explanation, caveats, relevant education/next steps and advisor-contact option without producing individualized financial, investment, tax or legal advice.</t>
  </si>
  <si>
    <t>No individualized financial recommendation.</t>
  </si>
  <si>
    <t>9.5</t>
  </si>
  <si>
    <t>Implement assessment eligibility/retake rules for configured cadence, explicit advisor request or qualifying material client change; block unrestricted retakes and show next eligible status/date.</t>
  </si>
  <si>
    <t>Avoid unrestricted retakes.</t>
  </si>
  <si>
    <t>9.6</t>
  </si>
  <si>
    <t>Implement historical comparison between the latest and prior assessment result, including meaningful category/threshold changes for advisors and a simpler change indicator for clients where appropriate.</t>
  </si>
  <si>
    <t>Advisor detail; simpler client change indicator where useful.</t>
  </si>
  <si>
    <t>9.7</t>
  </si>
  <si>
    <t>Implement assessment-specific material-result/threshold rules that create AdvisorException records only for configured outcomes or meaningful changes, with source assessment/result IDs for traceability.</t>
  </si>
  <si>
    <t>Thresholds defined per assessment.</t>
  </si>
  <si>
    <t>9.8</t>
  </si>
  <si>
    <t>Implement save/resume, submission/completion state and assessment history APIs/UI so partially completed work and prior completed versions are retained correctly.</t>
  </si>
  <si>
    <t>Supports longer assessments.</t>
  </si>
  <si>
    <t>9.9</t>
  </si>
  <si>
    <t>Add tests for question rendering, branching, scoring, threshold logic, versioning, retake eligibility, historical comparison, exception generation and reproducibility of prior results.</t>
  </si>
  <si>
    <t>Historical results remain reproducible.</t>
  </si>
  <si>
    <t>Epic 10</t>
  </si>
  <si>
    <t>10.1</t>
  </si>
  <si>
    <t>Create EngagementActivity records for meaningful client events such as completing a Planning Update/assessment, viewing or completing configured learning content, reaching a milestone or completing a checklist item, with source and timestamp.</t>
  </si>
  <si>
    <t>Records meaningful completed/viewed/explored activity.</t>
  </si>
  <si>
    <t>10.2</t>
  </si>
  <si>
    <t>Create OutstandingItem lifecycle and APIs for genuinely incomplete/due client items, including source, due date, status, snooze/dismiss rules for informational items, and completion/removal behavior. Keep informational milestones, opportunities and education distinct from required items so the experience does not become a task manager.</t>
  </si>
  <si>
    <t>Separate true outstanding work from informational opportunities/education.</t>
  </si>
  <si>
    <t>10.3</t>
  </si>
  <si>
    <t>Create AdvisorException lifecycle with tenant/household/client/source, reason code, severity/priority, created/resolved timestamps and relationship to the triggering assessment/update/milestone or client request.</t>
  </si>
  <si>
    <t>Only approved conditions become advisor work.</t>
  </si>
  <si>
    <t>10.4</t>
  </si>
  <si>
    <t>Implement allowed state transitions for outstanding items and advisor exceptions, including open/acknowledged/in-progress/resolved/dismissed where approved, with audit history and validation.</t>
  </si>
  <si>
    <t>Supports advisor workflow.</t>
  </si>
  <si>
    <t>10.5</t>
  </si>
  <si>
    <t>Feed EngagementActivity, OutstandingItem and AdvisorException state into the client priority/journey services so the dashboard presents one coherent set of progress and next-action signals.</t>
  </si>
  <si>
    <t>Maintains coherent journey.</t>
  </si>
  <si>
    <t>10.6</t>
  </si>
  <si>
    <t>Implement a simple client “Request Advisor Follow-Up” workflow that creates a ClientInitiatedAdvisorRequest with topic/message category, routes it to the Primary Advisor/authorized advisor relationship and records acknowledgement/resolution state. Do not add calendar/scheduling integration in MVP.</t>
  </si>
  <si>
    <t>Email/in-app + follow-up request only; no calendar integration.</t>
  </si>
  <si>
    <t>10.7</t>
  </si>
  <si>
    <t>Add domain/integration tests for engagement events, outstanding-item lifecycle, exception creation/resolution, client requests and guards ensuring routine activity does not automatically become advisor workload.</t>
  </si>
  <si>
    <t>Prevents routine engagement from creating advisor work.</t>
  </si>
  <si>
    <t>Phase 5 – Advisor Experience, Education &amp; Automation</t>
  </si>
  <si>
    <t>Epic 11</t>
  </si>
  <si>
    <t>11.1</t>
  </si>
  <si>
    <t>Build the production advisor dashboard shell with firm/assigned-client scope, aggregate counts and sections for client engagement, outstanding items and advisor attention, including loading/empty/error states.</t>
  </si>
  <si>
    <t>High visibility with low routine workload.</t>
  </si>
  <si>
    <t>11.2</t>
  </si>
  <si>
    <t>Implement the Client Engagement/Accomplishments view listing meaningful recent client completions and activity with client/household identity, activity type, date and drill-down link.</t>
  </si>
  <si>
    <t>Shows what clients completed/reviewed/explored.</t>
  </si>
  <si>
    <t>11.3</t>
  </si>
  <si>
    <t>Implement the Outstanding Client Items view showing due/incomplete Planning Updates, assessments and milestones, with age/status/due-date filters but without converting every outstanding item into advisor work.</t>
  </si>
  <si>
    <t>Shows incomplete/due items without automatically creating work.</t>
  </si>
  <si>
    <t>11.4</t>
  </si>
  <si>
    <t>Implement the Advisor Attention/Exceptions queue with reason, severity/priority, source, client/household, created date, status and actionable drill-down for cases that actually require professional attention.</t>
  </si>
  <si>
    <t>Highlights cases where professional attention is warranted.</t>
  </si>
  <si>
    <t>11.5</t>
  </si>
  <si>
    <t>Add server-side/client-side search and bounded filters for assigned advisor, client/household, status, exception type and date range, with pagination suitable for firms managing hundreds or thousands of households.</t>
  </si>
  <si>
    <t>Supports firms with hundreds/thousands of households.</t>
  </si>
  <si>
    <t>11.6</t>
  </si>
  <si>
    <t>Build authorized client/household drill-down showing relevant profile summary, progress, completed/outstanding items, Planning Update/assessment history and exceptions while suppressing IndividualPrivate data unless the viewer is authorized.</t>
  </si>
  <si>
    <t>Detailed values only where role/relationship permits.</t>
  </si>
  <si>
    <t>11.7</t>
  </si>
  <si>
    <t>Implement advisor exception follow-up actions such as acknowledge, add concise note, mark in progress/resolved and record follow-up status/history without building a general CRM/workflow engine.</t>
  </si>
  <si>
    <t>Tracks professional action lifecycle.</t>
  </si>
  <si>
    <t>11.8</t>
  </si>
  <si>
    <t>Add advisor-dashboard authorization, filtering, pagination and state-transition tests, including assignment changes, cross-tenant access attempts and private household data scenarios.</t>
  </si>
  <si>
    <t>Includes assignment/tenant boundaries.</t>
  </si>
  <si>
    <t>Epic 12</t>
  </si>
  <si>
    <t>12.1</t>
  </si>
  <si>
    <t>Create ContentItem, ContentType, Tag/Category, audience/stage metadata, availability dates, external/media/file references and tenant availability configuration for a RetirementTrack-curated core Learning Library. The data model should allow firm-specific content later without requiring a redesign.</t>
  </si>
  <si>
    <t>RetirementTrack curates core content; architecture keeps a future firm-specific content seam.</t>
  </si>
  <si>
    <t>12.2</t>
  </si>
  <si>
    <t>Build the client Learning Library with browse, category/tag filters, keyword search, content cards/detail view, empty/loading states and pagination or incremental loading for the expected MVP content volume.</t>
  </si>
  <si>
    <t>Clients can explore content directly.</t>
  </si>
  <si>
    <t>12.3</t>
  </si>
  <si>
    <t>Implement supported content delivery for hosted/external video, article/guide links and downloadable PDFs/files, including Blob or approved media-host references and authorization where content is not public.</t>
  </si>
  <si>
    <t>Blob/media-host integration as applicable.</t>
  </si>
  <si>
    <t>12.4</t>
  </si>
  <si>
    <t>Implement deterministic contextual-content queries that surface approved resources based on age, retirement stage, upcoming milestone, assessment result, Planning Update change and other configured content metadata.</t>
  </si>
  <si>
    <t>Rules-based and explainable.</t>
  </si>
  <si>
    <t>12.5</t>
  </si>
  <si>
    <t>Implement content-type completion semantics—for example viewed/opened for article/guide, configured watch threshold for video, and explicit completion for checklist/action content—and record resulting EngagementActivity.</t>
  </si>
  <si>
    <t>Video threshold, checklist completion, article/guide viewed/opened.</t>
  </si>
  <si>
    <t>12.6</t>
  </si>
  <si>
    <t>Implement curated related-content links using configured tags/relationships so clients can continue learning without an AI recommendation graph or generalized recommendation engine.</t>
  </si>
  <si>
    <t>No AI recommendation graph.</t>
  </si>
  <si>
    <t>12.7</t>
  </si>
  <si>
    <t>Implement a lightweight freshness/discovery surface for curated timely facts, observations or featured learning items with effective dates/audience metadata so the dashboard/library provides value even when no Epic is due.</t>
  </si>
  <si>
    <t>Grant feedback included as a lightweight curated freshness/discovery feature, not a separate recommendation engine or full publishing platform.</t>
  </si>
  <si>
    <t>12.8</t>
  </si>
  <si>
    <t>Implement firm controls to enable/disable approved RetirementTrack content items/categories for that tenant. Do not build a full firm CMS or firm-authored/upload workflow in MVP; preserve extensibility so firm-specific content can be added later without significant redesign.</t>
  </si>
  <si>
    <t>Firm selection of platform content only in MVP; full firm CMS deferred.</t>
  </si>
  <si>
    <t>12.9</t>
  </si>
  <si>
    <t>Add content-library tests for search/filtering, tenant availability, contextual surfacing, completion semantics, engagement tracking and authorization of downloadable/private resources.</t>
  </si>
  <si>
    <t>Tracks meaningful engagement, not exhaustive clickstream.</t>
  </si>
  <si>
    <t>Epic 13</t>
  </si>
  <si>
    <t>13.1</t>
  </si>
  <si>
    <t>Configure Temporal Cloud namespace/environment connectivity, certificates/API keys, worker Epic queues, client registration and application configuration for Dev/QA-Staging/Production.</t>
  </si>
  <si>
    <t>Temporal Cloud, not self-hosted.</t>
  </si>
  <si>
    <t>13.2</t>
  </si>
  <si>
    <t>Create and deploy the Azure-hosted .NET Temporal Worker service with dependency injection, health/readiness reporting, structured logging, graceful shutdown and secure access to application/database/communication dependencies.</t>
  </si>
  <si>
    <t>Separate durable workflow execution from API.</t>
  </si>
  <si>
    <t>13.3</t>
  </si>
  <si>
    <t>Implement the milestone-evaluation service for approved age/date/retirement-stage/client-context events. Generate milestones, opportunities, educational prompts or true outstanding items according to configured rules, supporting pre-retirement and post-retirement stages without automatically turning each event into required client work.</t>
  </si>
  <si>
    <t>Milestones and planning opportunities need not become tasks.</t>
  </si>
  <si>
    <t>13.4</t>
  </si>
  <si>
    <t>Implement durable reminder workflows with configurable initial delay, follow-up cadence, frequency caps, stop conditions, completion cancellation and snooze behavior where allowed. Reminders should primarily support useful milestones, opportunities, relevant planning considerations and explicitly defined due items rather than continual task assignment.</t>
  </si>
  <si>
    <t>Recurring engagement without recurring chores.</t>
  </si>
  <si>
    <t>13.5</t>
  </si>
  <si>
    <t>Create a replaceable communication service abstraction and implement MVP email plus in-app notification delivery, templates, tenant/advisor identity fields, delivery result capture and failure handling. Do not include SMS or calendar integration in MVP.</t>
  </si>
  <si>
    <t>MVP channels: email + in-app only.</t>
  </si>
  <si>
    <t>13.6</t>
  </si>
  <si>
    <t>Implement supported communication modes (Automatic, Advisor Approval where explicitly required, and Off) at the applicable firm/workflow level and enforce the selected mode before delivery.</t>
  </si>
  <si>
    <t>Avoid unnecessary advisor workload.</t>
  </si>
  <si>
    <t>13.7</t>
  </si>
  <si>
    <t>Implement Temporal workflow/activity retries, idempotency keys, duplicate-event protection, cancellation, timeout handling and workflow-version/change strategy for long-running workflows.</t>
  </si>
  <si>
    <t>Critical for durable long-running workflows.</t>
  </si>
  <si>
    <t>13.8</t>
  </si>
  <si>
    <t>Persist CommunicationIntent/Notification history and delivery status (queued/sent/failed/cancelled/approved where applicable) with minimal sensitive content and references back to the source workflow/item.</t>
  </si>
  <si>
    <t>Operational traceability with minimal sensitive content.</t>
  </si>
  <si>
    <t>13.9</t>
  </si>
  <si>
    <t>Add Temporal/communication integration tests for scheduling, retry/idempotency, workflow completion, cancellation on client completion, failed delivery, mode enforcement and duplicate protection.</t>
  </si>
  <si>
    <t>Includes retry and completion-cancellation behavior.</t>
  </si>
  <si>
    <t>13.10</t>
  </si>
  <si>
    <t>Implement a bounded initial post-retirement rules set for representative RMD preparation/completion, Medicare/IRMAA awareness, QCD/charitable, beneficiary/estate/insurance review, withdrawal/draw-rate review and material income/spending-change prompts; each rule must route to education, client review/contact or an explicitly approved advisor exception and must not generate individualized financial/tax/legal advice.</t>
  </si>
  <si>
    <t>Grant feedback included as a bounded representative post-retirement rules set; additional rules can be added later using the same framework.</t>
  </si>
  <si>
    <t>Phase 6 – Benchmarking, Administration, Security &amp; Operations</t>
  </si>
  <si>
    <t>Epic 14</t>
  </si>
  <si>
    <t>14.1</t>
  </si>
  <si>
    <t>Create BenchmarkDefinition and BenchmarkDataset metadata including source organization, source URL/reference, dataset year/effective period, cohort dimensions, methodology/caveat text, version and active status. Keep the initial benchmark inventory configurable and select only comparisons that demonstrate genuine retirement-planning value after source/methodology validation.</t>
  </si>
  <si>
    <t>Do not pre-designate income, net worth or retirement savings as the required initial benchmarks.</t>
  </si>
  <si>
    <t>14.2</t>
  </si>
  <si>
    <t>Implement an admin/import path for the approved external/reference benchmark datasets selected during implementation, validate required columns/cohorts, store versioned reference values and preserve the exact dataset version used by any saved client benchmark result.</t>
  </si>
  <si>
    <t>Preserve source/effective period.</t>
  </si>
  <si>
    <t>14.3</t>
  </si>
  <si>
    <t>Implement deterministic benchmark comparison logic only for the benchmark definitions and cohorts that have been validated and approved for retirement-planning value. Use only available high-level client/household inputs and return “not available” when inputs, methodology or validated cohort are insufficient.</t>
  </si>
  <si>
    <t>External/reference comparisons only; proprietary cross-client/cross-firm benchmarking remains outside MVP.</t>
  </si>
  <si>
    <t>14.4</t>
  </si>
  <si>
    <t>Build a simple client benchmark component showing the client/reference comparison, cohort description, source, data year and caveat/educational wording without good/bad labels or individualized recommendations.</t>
  </si>
  <si>
    <t>Avoid judgmental good/bad labels.</t>
  </si>
  <si>
    <t>14.5</t>
  </si>
  <si>
    <t>Expose concise benchmark context in authorized advisor client drill-down where useful, using the same saved calculation/result rather than a separate advisor calculation path.</t>
  </si>
  <si>
    <t>Summary remains explainable and privacy-conscious.</t>
  </si>
  <si>
    <t>14.6</t>
  </si>
  <si>
    <t>Persist BenchmarkResult with definition/dataset/methodology version and calculated inputs/output so historical results remain tied to the original source while new comparisons can use a newly validated dataset.</t>
  </si>
  <si>
    <t>New current result can use new validated dataset.</t>
  </si>
  <si>
    <t>14.7</t>
  </si>
  <si>
    <t>Add benchmark tests for dataset validation, cohort selection, calculation, missing inputs, version preservation, source/caveat display and tenant/privacy handling.</t>
  </si>
  <si>
    <t>No result when source/inputs are invalid.</t>
  </si>
  <si>
    <t>Epic 15</t>
  </si>
  <si>
    <t>15.1</t>
  </si>
  <si>
    <t>Implement firm-admin user/client/advisor list and basic management actions such as invite, activate/deactivate, role/membership review and advisor assignment/reassignment with authorization controls.</t>
  </si>
  <si>
    <t>Bounded MVP administration.</t>
  </si>
  <si>
    <t>15.2</t>
  </si>
  <si>
    <t>Implement explicit firm controls for enabling the supported assessment set, content availability and other approved MVP features; do not expose generic rule/workflow authoring.</t>
  </si>
  <si>
    <t>No generic rule/workflow builder.</t>
  </si>
  <si>
    <t>15.3</t>
  </si>
  <si>
    <t>Implement firm-admin branding settings for logo, approved colors, firm display identity and advisor-facing defaults using the configuration model from Epic 5.</t>
  </si>
  <si>
    <t>Logo/colors/advisor identity.</t>
  </si>
  <si>
    <t>15.4</t>
  </si>
  <si>
    <t>Implement administration of supported communication modes/settings, including Automatic/Advisor Approval/Off where that option is part of the approved workflow.</t>
  </si>
  <si>
    <t>Automatic/approval/off where supported.</t>
  </si>
  <si>
    <t>15.5</t>
  </si>
  <si>
    <t>Implement operational tenant settings required by the MVP, validation of required values and safe defaults; prevent unsupported combinations from being saved.</t>
  </si>
  <si>
    <t>Keep configuration bounded and explicit.</t>
  </si>
  <si>
    <t>15.6</t>
  </si>
  <si>
    <t>Implement basic platform-admin operations for tenant creation/status, configuration troubleshooting and support-level inspection needed to operate the SaaS without exposing cross-tenant client data unnecessarily.</t>
  </si>
  <si>
    <t>No broad reporting engine.</t>
  </si>
  <si>
    <t>15.7</t>
  </si>
  <si>
    <t>Add admin authorization/regression tests for user management, role changes, feature settings, branding/configuration, tenant isolation and platform-admin boundaries.</t>
  </si>
  <si>
    <t>Tenant and role boundaries.</t>
  </si>
  <si>
    <t>Epic 16</t>
  </si>
  <si>
    <t>16.1</t>
  </si>
  <si>
    <t>Create security/business AuditEvent storage and emit events for login-sensitive actions, membership/role changes, advisor assignments, privacy acknowledgement, export/deletion actions, admin configuration changes and other critical operations; keep diagnostic logs separate.</t>
  </si>
  <si>
    <t>Separate from diagnostic logging.</t>
  </si>
  <si>
    <t>16.2</t>
  </si>
  <si>
    <t>Implement a controlled firm data-export workflow that validates authorization, creates an auditable export job, extracts approved tenant/client data into a documented machine-readable format, secures the generated file and records download/expiry status.</t>
  </si>
  <si>
    <t>Auditable export path.</t>
  </si>
  <si>
    <t>16.3</t>
  </si>
  <si>
    <t>Implement the default 30-day offboarding/transition state for a terminating firm, including access policy/configuration, export availability, offboarding timestamps and prevention of accidental early deletion.</t>
  </si>
  <si>
    <t>Supports export/portability during transition.</t>
  </si>
  <si>
    <t>16.4</t>
  </si>
  <si>
    <t>Implement scheduled tenant/client deletion orchestration after the policy window, deleting/retiring application data and stored files according to configured policy while respecting legal-hold/retention exceptions and backup lifecycle limitations.</t>
  </si>
  <si>
    <t>Subject to legal/regulatory/backup/legal-hold exceptions.</t>
  </si>
  <si>
    <t>16.5</t>
  </si>
  <si>
    <t>Implement retention/legal-hold exception hooks and status metadata so deletion/export workflows can be paused or modified by an approved policy decision without redesigning the data model.</t>
  </si>
  <si>
    <t>Exact legal policy can mature without redesign.</t>
  </si>
  <si>
    <t>16.6</t>
  </si>
  <si>
    <t>Perform application security hardening: authorization review on all sensitive endpoints, secure headers/CORS, input/file validation, rate limiting where appropriate, secret/PII redaction in logs, anti-enumeration checks and defense against common web/API misuse.</t>
  </si>
  <si>
    <t>Defense-in-depth controls.</t>
  </si>
  <si>
    <t>16.7</t>
  </si>
  <si>
    <t>Add security/data-lifecycle tests for exports, expiry/download controls, offboarding window, deletion eligibility, retention holds, audit-event emission, rate-limit/validation behavior and cross-tenant protection.</t>
  </si>
  <si>
    <t>Includes cross-tenant protections.</t>
  </si>
  <si>
    <t>Epic 17</t>
  </si>
  <si>
    <t>17.1</t>
  </si>
  <si>
    <t>Instrument API, React-backend dependencies and Temporal Worker with OpenTelemetry/Application Insights telemetry, correlation IDs, structured logs, dependency timing, exception capture and environment/tenant-safe diagnostic context.</t>
  </si>
  <si>
    <t>API, worker and dependency telemetry.</t>
  </si>
  <si>
    <t>17.2</t>
  </si>
  <si>
    <t>Implement /health/live and /health/ready endpoints/checks for API and worker dependencies used by Azure deployment/monitoring, while avoiding disclosure of sensitive configuration in responses.</t>
  </si>
  <si>
    <t>Deployment/readiness checks.</t>
  </si>
  <si>
    <t>17.3</t>
  </si>
  <si>
    <t>Create Azure Monitor/Application Insights dashboards and actionable alerts for API errors/latency, worker failures/backlog, SQL/resource health, communication failures and other launch-critical signals with documented owners/escalation.</t>
  </si>
  <si>
    <t>API, Temporal worker, communications, SQL/resources.</t>
  </si>
  <si>
    <t>17.4</t>
  </si>
  <si>
    <t>Finalize production Key Vault/Managed Identity access policies/RBAC, secret naming/rotation process, deployment-time references and recovery procedure; verify applications run without embedded production secrets.</t>
  </si>
  <si>
    <t>No broad secret distribution.</t>
  </si>
  <si>
    <t>17.5</t>
  </si>
  <si>
    <t>Configure Azure SQL automated backups/PITR/retention and Blob/storage recovery settings appropriate to the approved RPO/RTO direction, then document the actual configured recovery capabilities.</t>
  </si>
  <si>
    <t>Production recoverability foundation.</t>
  </si>
  <si>
    <t>17.6</t>
  </si>
  <si>
    <t>Execute an isolated restore test using production-like backup data/configuration, verify application/database usability after restore, record evidence/timing and correct any restore/runbook gaps found.</t>
  </si>
  <si>
    <t>Validates actual recovery process.</t>
  </si>
  <si>
    <t>17.7</t>
  </si>
  <si>
    <t>Create operational runbooks for deployment, rollback/roll-forward, EF Core migration recovery, backup/restore, incident triage, Clerk/Temporal/Azure account recovery, secret rotation and common production support actions.</t>
  </si>
  <si>
    <t>RetirementTrack-controlled documentation.</t>
  </si>
  <si>
    <t>17.8</t>
  </si>
  <si>
    <t>Review production RBAC, MFA and privileged-access assignments across Azure/Git/Clerk/Temporal and deployment identities; remove unnecessary access and document named owners and break-glass/recovery access.</t>
  </si>
  <si>
    <t>Named, least-privilege access.</t>
  </si>
  <si>
    <t>17.9</t>
  </si>
  <si>
    <t>Prepare the pre-production validation evidence package: deployed architecture/configuration inventory, tenant-isolation test evidence, access-control/RBAC evidence, Key Vault/secrets controls, production-data restrictions, monitoring/logging, backup/restore proof, CI/CD/deployment controls and runbook links for the independent reviewer.</t>
  </si>
  <si>
    <t>Supports independent validation without creating vendor-only production dependencies.</t>
  </si>
  <si>
    <t>Phase 7 – Validation, Independent Review &amp; Production Launch</t>
  </si>
  <si>
    <t>Epic 18</t>
  </si>
  <si>
    <t>18.1</t>
  </si>
  <si>
    <t>Execute end-to-end integration/regression cycles across onboarding, household/privacy, dashboard/progress, Planning Updates, assessments, content, reminders, advisor exceptions, administration and data-lifecycle flows in the production-like environment.</t>
  </si>
  <si>
    <t>Covers client/advisor/admin core workflows.</t>
  </si>
  <si>
    <t>18.2</t>
  </si>
  <si>
    <t>Execute focused security validation for tenant isolation, advisor assignment, household shared/private visibility, role/permission boundaries, ID enumeration/direct API access, privileged operations and background/Temporal workflow access.</t>
  </si>
  <si>
    <t>Security-critical validation.</t>
  </si>
  <si>
    <t>18.3</t>
  </si>
  <si>
    <t>Perform accessibility review/fixes for primary client/advisor workflows, including keyboard navigation, focus states, labels, contrast, readable validation/errors and responsive behavior important for an older client population.</t>
  </si>
  <si>
    <t>Especially important for older client population.</t>
  </si>
  <si>
    <t>18.4</t>
  </si>
  <si>
    <t>Run practical performance/load checks for expected pilot/early-production scale on login, client dashboard, advisor lists/filters, tenant-scoped queries, background workflows and other hot paths; add indexes/query fixes for material bottlenecks.</t>
  </si>
  <si>
    <t>Advisor/client list and dashboard hot paths.</t>
  </si>
  <si>
    <t>18.5</t>
  </si>
  <si>
    <t>Support RetirementTrack UAT by preparing test scenarios/data, assisting Grant/designated users during acceptance testing, triaging findings and recording accepted/deferred issues against MVP criteria.</t>
  </si>
  <si>
    <t>Domain/product acceptance remains human-led.</t>
  </si>
  <si>
    <t>18.6</t>
  </si>
  <si>
    <t>Implement bounded UAT/regression stabilization fixes across UI, API, workflow, data and configuration; rerun affected automated/manual tests and close release-blocking defects before launch.</t>
  </si>
  <si>
    <t>Bounded correction allowance.</t>
  </si>
  <si>
    <t>18.7</t>
  </si>
  <si>
    <t>Compile release-readiness evidence including automated-test results, UAT status, accessibility/security/performance findings, known issues, deployment/migration checks and production launch sign-off checklist.</t>
  </si>
  <si>
    <t>Supports launch sign-off.</t>
  </si>
  <si>
    <t>Epic 19</t>
  </si>
  <si>
    <t>Finalize production Azure/App/Worker/SQL/Blob/Key Vault configuration plus Clerk, Temporal, communications, DNS and monitoring settings; verify RetirementTrack account ownership, billing/recovery contacts and required production access.</t>
  </si>
  <si>
    <t>Azure, Clerk, Temporal, DNS, communications and recovery paths.</t>
  </si>
  <si>
    <t>Execute the controlled production release: deploy approved infrastructure/application artifacts, apply reviewed EF Core/database migrations, seed only approved configuration and record the deployed versions/change evidence.</t>
  </si>
  <si>
    <t>Use reviewed artifacts and migration process.</t>
  </si>
  <si>
    <t>Run production smoke tests for authentication/MFA, client dashboard, Planning Update/assessment access, advisor dashboard, Temporal worker/reminders, communication delivery and monitoring; verify rollback/roll-forward procedure is executable.</t>
  </si>
  <si>
    <t>Validate critical client/advisor workflows.</t>
  </si>
  <si>
    <t>Finalize launch checklist, runbooks, production support contacts, incident/escalation path, release approval owner, vendor contact/recovery details and known-issue list for operational handoff.</t>
  </si>
  <si>
    <t>Includes incident/support ownership.</t>
  </si>
  <si>
    <t>Load approved production firm configuration, branding, initial content metadata/files, assessment/update definitions, milestone rules and validated benchmark reference data using controlled/admin processes.</t>
  </si>
  <si>
    <t>Only validated launch data.</t>
  </si>
  <si>
    <t>Provide launch-window technical support, monitor telemetry/workflows, triage production issues, apply approved hotfixes/configuration corrections and verify no tenant/privacy/security regressions during initial usage.</t>
  </si>
  <si>
    <t>Initial production stabilization.</t>
  </si>
  <si>
    <t>Conduct knowledge transfer covering architecture, repository/pipelines, Azure resources, Clerk/Temporal configuration, deployment/migrations, monitoring, backup/restore, runbooks and common support operations; confirm RetirementTrack-controlled access.</t>
  </si>
  <si>
    <t>Preserves vendor portability.</t>
  </si>
  <si>
    <t>Perform post-launch validation after initial production activity: review errors/alerts, Temporal workflow health, communication failures, SQL/resource health and critical client/advisor flows; close the initial implementation release with documented follow-up items.</t>
  </si>
  <si>
    <t>Confirm monitoring and core workflows remain healthy.</t>
  </si>
  <si>
    <t>TOTAL MVP ESTIMATE</t>
  </si>
  <si>
    <t>EXTERNAL INDEPENDENT REVIEW – PRE-PRODUCTION IMPLEMENTATION VERIFICATION</t>
  </si>
  <si>
    <t>External Review – Phase 7</t>
  </si>
  <si>
    <t>Review the final approved architecture,operational/security controls, deployed production-like topology, MVP implementation scope, and engineering evidence. Build a verification checklist mapping each required control to the actual Azure, application, database, identity, workflow, monitoring, backup, and release implementation that must be inspected.</t>
  </si>
  <si>
    <t>Establishes the independent verification baseline and evidence checklist.</t>
  </si>
  <si>
    <t>Verify multi-tenant isolation end-to-end. Inspect TenantId enforcement in APIs, repositories/queries, Azure SQL access patterns, background jobs, Temporal workflow inputs/activities, advisor/client routes, and administrative operations. Execute representative cross-tenant and direct-object-access tests to confirm one firm/client cannot access another tenant’s identifiable data.</t>
  </si>
  <si>
    <t>Verify the deployed implementation, not only design documents.</t>
  </si>
  <si>
    <t>Verify Clerk authentication and application authorization. Review Production Clerk configuration, MFA enforcement, invitation/account activation, session handling, external identity mapping, tenant membership, advisor/client assignment, firm-admin/platform-admin privileges, disabled-user behavior, and representative unauthorized-access scenarios.</t>
  </si>
  <si>
    <t>Includes identity-provider configuration plus app-owned authorization.</t>
  </si>
  <si>
    <t>Verify household privacy and sharing behavior. Test shared household data versus bounded individual/private data, spouse/partner identity separation, advisor visibility, relationship changes, and API/UI authorization to ensure private client information is not exposed through household-level screens or endpoints.</t>
  </si>
  <si>
    <t>Focus on household/shared/private visibility boundaries.</t>
  </si>
  <si>
    <t>Verify Azure infrastructure and environment separation. Inspect Development/QA-Staging/Production resources, Bicep/IaC output, App/API/Worker hosting, Azure SQL, Blob Storage, Key Vault, Application Insights/Azure Monitor, identities, environment configuration, and production access boundaries for material deviations from the approved architecture.</t>
  </si>
  <si>
    <t>Validate the actual deployed production-like environment and ownership model.</t>
  </si>
  <si>
    <t>Verify secrets, credentials, and privileged access. Inspect Key Vault usage, Managed Identity assignments, CI/CD/service identities, Clerk/Temporal/communications secrets, secret references, source-control/pipeline exposure, least-privilege RBAC, named privileged users, MFA, and recovery/break-glass access.</t>
  </si>
  <si>
    <t>Confirm no unnecessary embedded/shared production credentials.</t>
  </si>
  <si>
    <t>Verify production-data, audit, and lifecycle controls. Review collection boundaries, high-level financial data handling, audit-event creation, export/portability, offboarding window, deletion orchestration, retention/legal-hold hooks, file/download controls, and production-data restrictions across non-production environments.</t>
  </si>
  <si>
    <t>Covers privacy/data-lifecycle behaviors implemented for MVP.</t>
  </si>
  <si>
    <t>Verify logging, monitoring, and sensitive-data handling. Inspect structured logs, correlation IDs, Application Insights/Azure Monitor telemetry, alert rules, audit events, and representative error paths. Confirm secrets, sensitive client data, and authentication artifacts are not unnecessarily written to logs and that launch-critical failures are observable.</t>
  </si>
  <si>
    <t>Validate both observability and sensitive-data redaction.</t>
  </si>
  <si>
    <t>Verify backup and recovery implementation. Review Azure SQL PITR/retention, Blob/storage recovery settings, backup ownership, recovery runbooks, and evidence from the engineering restore test. Independently confirm the documented recovery steps and configured capabilities are consistent with the approved RPO/RTO direction.</t>
  </si>
  <si>
    <t>Review recovery evidence and configuration; not a disaster-recovery certification.</t>
  </si>
  <si>
    <t>20.10</t>
  </si>
  <si>
    <t>Verify CI/CD, infrastructure, and release controls. Inspect repository protections, pipeline identities, build/test gates, Bicep deployment, production approvals, artifact/version traceability, EF Core migration process, rollback/roll-forward steps, configuration promotion, and evidence that production releases use controlled deployment identities.</t>
  </si>
  <si>
    <t>Covers deployment and change-management implementation.</t>
  </si>
  <si>
    <t>Verify Temporal Cloud and reminder/workflow security. Review worker authentication/configuration, tenant context propagation, workflow/activity inputs, retry/failure handling, scheduled reminder/milestone execution, secrets/configuration, and representative failure paths to confirm background processing preserves tenant and authorization boundaries.</t>
  </si>
  <si>
    <t>Focused verification of the durable workflow implementation.</t>
  </si>
  <si>
    <t>Execute focused end-to-end verification of critical MVP application flows: onboarding, household/client setup, personalized dashboard and Progress/Preparedness Meter, Planning Updates, assessments/history, education/contextual surfacing, milestones/reminders, advisor exceptions, benchmarking display, administration, and data-lifecycle actions. Confirm required authorization, validation, audit, and privacy controls are applied to the implemented flows.</t>
  </si>
  <si>
    <t>Functional-security verification of the implemented MVP, not duplicate product UAT.</t>
  </si>
  <si>
    <t>Prepare the independent findings report. For each observation record the affected control/component, evidence, severity/risk, reproduction or configuration details, required remediation, recommended pre-launch disposition, and whether revalidation is required. Distinguish launch-blocking/material findings from advisory improvements.</t>
  </si>
  <si>
    <t>Formal independent review output for launch decision-making.</t>
  </si>
  <si>
    <t>Perform targeted revalidation after the implementation team addresses material/high-risk findings. Re-test affected controls and representative regression paths, verify closure evidence, update finding status, and provide final reviewer disposition for the independently reviewed scope.</t>
  </si>
  <si>
    <t>Independent reviewer re-test/closure effort.</t>
  </si>
  <si>
    <t>Engineering implementation after reallocation of 100 UI/UX hours to Phase 1.</t>
  </si>
  <si>
    <t>INDEPENDENT REVIEWER ESTIMATE</t>
  </si>
  <si>
    <t>RETIREMENTTRACK – RECOMMENDED DELIVERY TEAM &amp; PLANNING COST</t>
  </si>
  <si>
    <t>Planning rates are editable assumptions for budgeting; confirm final staffing/rates before client commitment. The 980-hour professional delivery framework is maintained by reallocating 100 hours of UI/UX from engineering: 834 Engineering + 100 UI/UX + 46 Independent Reviewer.</t>
  </si>
  <si>
    <t>Role</t>
  </si>
  <si>
    <t>Recommended Involvement</t>
  </si>
  <si>
    <t>Primary Responsibilities</t>
  </si>
  <si>
    <t>Phase Allocation</t>
  </si>
  <si>
    <t>Estimated Effort (hrs)</t>
  </si>
  <si>
    <t>Planning Rate (USD/hr)</t>
  </si>
  <si>
    <t>Estimated Cost (USD)</t>
  </si>
  <si>
    <t>Full-time</t>
  </si>
  <si>
    <t>Current planning billing rate assumption.</t>
  </si>
  <si>
    <t>Full-Stack Engineer</t>
  </si>
  <si>
    <t>Phases 2–7</t>
  </si>
  <si>
    <t>Works in parallel with the lead on feature streams.</t>
  </si>
  <si>
    <t>UI/UX Designer</t>
  </si>
  <si>
    <t>Dedicated Phase 1 + part-time implementation fidelity support</t>
  </si>
  <si>
    <t>Own Phase 1 UI/UX Design &amp; Development for Client, Advisor, Firm Admin and Platform Admin: role journeys, dashboard concepts, design system, high-fidelity screens, responsive/accessibility states, clickable prototypes and developer handoff; review implementation fidelity during frontend delivery.</t>
  </si>
  <si>
    <t>Phase 1; design support during Phases 3–5</t>
  </si>
  <si>
    <t>Independent Security &amp; Architecture Reviewer</t>
  </si>
  <si>
    <t>Independent; pre-production</t>
  </si>
  <si>
    <t>Independently verify the implemented production-like system against the approved architecture and Task 9 controls: tenant isolation, identity/authorization, household privacy, Azure configuration, secrets, data lifecycle, observability, backup/recovery, CI/CD, Temporal and critical MVP flows; issue findings and revalidate material remediation.</t>
  </si>
  <si>
    <t>Phase 7 – Independent pre-production verification</t>
  </si>
  <si>
    <t>Must be independent from the implementation team. Planning rate is an assumption; reviewer quote may differ.</t>
  </si>
  <si>
    <t>Professional Delivery Total</t>
  </si>
  <si>
    <t>834 engineering + 100 UI/UX + 46 independent reviewer = 980 professional hours. Client-side product/domain involvement excluded.</t>
  </si>
  <si>
    <t>PHASE-LEVEL EFFORT &amp; COST PLANNING</t>
  </si>
  <si>
    <t>Scope</t>
  </si>
  <si>
    <t>Rate Basis</t>
  </si>
  <si>
    <t>Rate (USD/hr)</t>
  </si>
  <si>
    <t>Schedule Position</t>
  </si>
  <si>
    <t>Phase 1 – UI/UX Design &amp; Development</t>
  </si>
  <si>
    <t>Implementation-ready UI/UX for Client, Advisor, Firm Admin and Platform Admin: role journeys, shared design system, high-fidelity dashboards and primary workflows, responsive/accessibility states, clickable prototype, stakeholder review and developer handoff.</t>
  </si>
  <si>
    <t>UI/UX planning rate</t>
  </si>
  <si>
    <t>Before significant frontend development; ~3–4 calendar weeks</t>
  </si>
  <si>
    <t>Reallocated from the original engineering estimate; not incremental to the 980-hour framework.</t>
  </si>
  <si>
    <t>Foundation/repo/IaC/environments; Clerk identity/MFA; tenancy/roles/advisor assignment</t>
  </si>
  <si>
    <t>Engineering blended rate</t>
  </si>
  <si>
    <t>Early implementation</t>
  </si>
  <si>
    <t>Phase 3 – Client, Household &amp; Onboarding</t>
  </si>
  <si>
    <t>Household/privacy; white-label; onboarding/invitations</t>
  </si>
  <si>
    <t>After/overlapping late Phase 1</t>
  </si>
  <si>
    <t>Phase 4 – Core Client Journey &amp; Engagement</t>
  </si>
  <si>
    <t>Dashboard/journey/progress; lightweight Planning Updates; assessment catalog/scoring; engagement/exception model</t>
  </si>
  <si>
    <t>Main product implementation</t>
  </si>
  <si>
    <t>Phase 5 – Advisor, Education &amp; Automation</t>
  </si>
  <si>
    <t>Advisor experience; curated education; milestones/reminders/email + in-app/Temporal</t>
  </si>
  <si>
    <t>Parallelizable feature streams</t>
  </si>
  <si>
    <t>Phase 6 – Benchmarking, Admin, Security &amp; Operations</t>
  </si>
  <si>
    <t>Validated external benchmarking; admin; audit/security/lifecycle; monitoring/recovery</t>
  </si>
  <si>
    <t>Hardening/operational completion</t>
  </si>
  <si>
    <t>Phase 7 – Engineering Validation &amp; Launch</t>
  </si>
  <si>
    <t>QA/UAT/accessibility/security/performance and production launch/handoff</t>
  </si>
  <si>
    <t>Final implementation/launch</t>
  </si>
  <si>
    <t>Independent pre-production full implementation verification and revalidation</t>
  </si>
  <si>
    <t>Reviewer planning rate</t>
  </si>
  <si>
    <t>Before production approval</t>
  </si>
  <si>
    <t>External independent reviewer.</t>
  </si>
  <si>
    <t>Total Professional Delivery</t>
  </si>
  <si>
    <t>Total professional delivery remains 980 hours: 100 UI/UX + 834 Engineering + 46 Independent Reviewer. Third-party subscriptions/usage and client-side involvement are additional.</t>
  </si>
  <si>
    <t>RETIREMENTTRACK – THIRD-PARTY SERVICE COST PLANNING</t>
  </si>
  <si>
    <t>Pricing snapshot reviewed September 2026. Third-party subscriptions/usage are outside development, UI/UX and independent-review professional-service costs. Reconfirm vendor pricing before production purchase.</t>
  </si>
  <si>
    <t>Service</t>
  </si>
  <si>
    <t>MVP Purpose</t>
  </si>
  <si>
    <t>Pricing Assumption / Basis</t>
  </si>
  <si>
    <t>Est. Monthly (USD)</t>
  </si>
  <si>
    <t>Est. Annual (USD)</t>
  </si>
  <si>
    <t>Cost Status</t>
  </si>
  <si>
    <t>Official Source</t>
  </si>
  <si>
    <t>Clerk Pro</t>
  </si>
  <si>
    <t>Production authentication, MFA, invitations and session lifecycle</t>
  </si>
  <si>
    <t>$20/month equivalent when billed annually; includes production MFA capability and published included usage at current pricing</t>
  </si>
  <si>
    <t>Known baseline</t>
  </si>
  <si>
    <t>Budget assumes annual billing. Usage/add-ons above the included allowance can increase cost; recheck at purchase.</t>
  </si>
  <si>
    <t>https://clerk.com/pricing</t>
  </si>
  <si>
    <t>Temporal Cloud</t>
  </si>
  <si>
    <t>Durable reminders, milestones, long-running workflows, retries and timers</t>
  </si>
  <si>
    <t>https://temporal.io/get-cloud/aws-marketplace</t>
  </si>
  <si>
    <t>Azure</t>
  </si>
  <si>
    <t>App/API/Worker hosting, Azure SQL, Blob, Key Vault, Application Insights/Monitor, networking/identity</t>
  </si>
  <si>
    <t>Usage-based; final cost depends on region, compute/database tier, environments, retention and monitoring volume</t>
  </si>
  <si>
    <t>https://azure.microsoft.com/pricing/</t>
  </si>
  <si>
    <t>Transactional email for invitations, reminders and notifications</t>
  </si>
  <si>
    <t>Provider and volume dependent</t>
  </si>
  <si>
    <t>Domain / DNS / certificates</t>
  </si>
  <si>
    <t>Public application and email-domain ownership</t>
  </si>
  <si>
    <t>Registrar/DNS-provider dependent</t>
  </si>
  <si>
    <t>Existing/new account dependent</t>
  </si>
  <si>
    <t>COMBINED CORE IMPLEMENTATION TOTAL (100 UI/UX + 834 Engineering + 46 Independent Reviewer)</t>
  </si>
  <si>
    <t>Frontend and backend development, architecture implementation, core features, integrations, testing, code reviews, and deployment support.</t>
  </si>
  <si>
    <t>Frontend and backend development, feature implementation, integrations, testing, bug fixes, and ongoing development support.</t>
  </si>
  <si>
    <t>Phase7 - Independent Review</t>
  </si>
  <si>
    <t>Email delivery provider - SendGrid</t>
  </si>
  <si>
    <r>
      <t xml:space="preserve">SendGrid's current pricing material lists the 50,000-email Essentials tier at </t>
    </r>
    <r>
      <rPr>
        <b/>
        <sz val="11"/>
        <color theme="1"/>
        <rFont val="Calibri"/>
        <family val="2"/>
        <scheme val="minor"/>
      </rPr>
      <t>$19.95/month</t>
    </r>
    <r>
      <rPr>
        <sz val="11"/>
        <color theme="1"/>
        <rFont val="Calibri"/>
        <family val="2"/>
        <scheme val="minor"/>
      </rPr>
      <t xml:space="preserve">, with overage at about </t>
    </r>
    <r>
      <rPr>
        <b/>
        <sz val="11"/>
        <color theme="1"/>
        <rFont val="Calibri"/>
        <family val="2"/>
        <scheme val="minor"/>
      </rPr>
      <t>$0.00133 per additional email</t>
    </r>
    <r>
      <rPr>
        <sz val="11"/>
        <color theme="1"/>
        <rFont val="Calibri"/>
        <family val="2"/>
        <scheme val="minor"/>
      </rPr>
      <t xml:space="preserve">. </t>
    </r>
  </si>
  <si>
    <r>
      <t xml:space="preserve">Pay-As-You-Go with </t>
    </r>
    <r>
      <rPr>
        <b/>
        <sz val="11"/>
        <color theme="1"/>
        <rFont val="Calibri"/>
        <family val="2"/>
        <scheme val="minor"/>
      </rPr>
      <t>no base monthly fee</t>
    </r>
    <r>
      <rPr>
        <sz val="11"/>
        <color theme="1"/>
        <rFont val="Calibri"/>
        <family val="2"/>
        <scheme val="minor"/>
      </rPr>
      <t xml:space="preserve">. Pricing starts at </t>
    </r>
    <r>
      <rPr>
        <b/>
        <sz val="11"/>
        <color theme="1"/>
        <rFont val="Calibri"/>
        <family val="2"/>
        <scheme val="minor"/>
      </rPr>
      <t>$50 per 1 million Actions</t>
    </r>
    <r>
      <rPr>
        <sz val="11"/>
        <color theme="1"/>
        <rFont val="Calibri"/>
        <family val="2"/>
        <scheme val="minor"/>
      </rPr>
      <t>, plus active and retained workflow storage.</t>
    </r>
  </si>
  <si>
    <t>Low usage / Pay-as-you-go</t>
  </si>
  <si>
    <r>
      <t xml:space="preserve">No base monthly fee. Pricing starts at </t>
    </r>
    <r>
      <rPr>
        <b/>
        <sz val="11"/>
        <color theme="1"/>
        <rFont val="Calibri"/>
        <family val="2"/>
        <scheme val="minor"/>
      </rPr>
      <t>$50 per 1M Actions</t>
    </r>
    <r>
      <rPr>
        <sz val="11"/>
        <color theme="1"/>
        <rFont val="Calibri"/>
        <family val="2"/>
        <scheme val="minor"/>
      </rPr>
      <t xml:space="preserve"> plus active/retained workflow storage. For the initial MVP, expected workflow volume should be low, so ~$20/month is a reasonable planning allowance. Actual cost will scale with reminders, milestones, workflow history, retries, and client activity. </t>
    </r>
  </si>
  <si>
    <r>
      <t>Average ~$2/month</t>
    </r>
    <r>
      <rPr>
        <sz val="11"/>
        <color theme="1"/>
        <rFont val="Calibri"/>
        <family val="2"/>
        <scheme val="minor"/>
      </rPr>
      <t xml:space="preserve"> — assumes a standard </t>
    </r>
    <r>
      <rPr>
        <sz val="10"/>
        <color theme="1"/>
        <rFont val="Arial Unicode MS"/>
      </rPr>
      <t>.com</t>
    </r>
    <r>
      <rPr>
        <sz val="11"/>
        <color theme="1"/>
        <rFont val="Calibri"/>
        <family val="2"/>
        <scheme val="minor"/>
      </rPr>
      <t xml:space="preserve"> domain with free DNS and managed SSL certificate.</t>
    </r>
  </si>
  <si>
    <t>Average ~$175/month — budget estimate for 3 Azure environments covering frontend, backend, worker, database, storage, secrets, monitoring, and basic networking. Initial actual cost may be lower depending on resource sizing and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</si>
</sst>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1">
    <font>
      <sz val="11"/>
      <color theme="1"/>
      <name val="Calibri"/>
      <family val="2"/>
      <scheme val="minor"/>
    </font>
    <font>
      <b/>
      <sz val="10"/>
      <color rgb="FFFFFFFF"/>
      <name val="Calibri"/>
    </font>
    <font>
      <b/>
      <sz val="11"/>
      <color rgb="FF17365D"/>
      <name val="Calibri"/>
    </font>
    <font>
      <b/>
      <sz val="16"/>
      <color rgb="FF17365D"/>
      <name val="Calibri"/>
      <family val="2"/>
    </font>
    <font>
      <b/>
      <sz val="11"/>
      <color rgb="FFFFFFFF"/>
      <name val="Calibri"/>
      <family val="2"/>
    </font>
    <font>
      <sz val="11"/>
      <color rgb="FF000000"/>
      <name val="Calibri"/>
      <family val="2"/>
    </font>
    <font>
      <b/>
      <sz val="12"/>
      <color rgb="FFFFFFFF"/>
      <name val="Calibri"/>
      <family val="2"/>
    </font>
    <font>
      <b/>
      <sz val="11"/>
      <color rgb="FF000000"/>
      <name val="Calibri"/>
      <family val="2"/>
    </font>
    <font>
      <b/>
      <sz val="11"/>
      <color rgb="FF17365D"/>
      <name val="Calibri"/>
      <family val="2"/>
    </font>
    <font>
      <b/>
      <sz val="12"/>
      <color rgb="FF17365D"/>
      <name val="Calibri"/>
      <family val="2"/>
    </font>
    <font>
      <i/>
      <sz val="10"/>
      <color rgb="FF666666"/>
      <name val="Calibri"/>
    </font>
    <font>
      <b/>
      <sz val="11"/>
      <color rgb="FFFFFFFF"/>
      <name val="Calibri"/>
    </font>
    <font>
      <b/>
      <sz val="11"/>
      <color rgb="FF1F1F1F"/>
      <name val="Calibri"/>
    </font>
    <font>
      <sz val="10"/>
      <color rgb="FF0000FF"/>
      <name val="Calibri"/>
    </font>
    <font>
      <b/>
      <sz val="11"/>
      <color rgb="FF000000"/>
      <name val="Calibri"/>
    </font>
    <font>
      <sz val="11"/>
      <color rgb="FF0000FF"/>
      <name val="Calibri"/>
    </font>
    <font>
      <b/>
      <sz val="11"/>
      <color rgb="FFFFFFFF"/>
      <name val="Calibri"/>
    </font>
    <font>
      <b/>
      <sz val="14"/>
      <color rgb="FFFFFFFF"/>
      <name val="Calibri"/>
    </font>
    <font>
      <b/>
      <sz val="11"/>
      <name val="Calibri"/>
    </font>
    <font>
      <sz val="11"/>
      <color theme="1"/>
      <name val="Calibri"/>
      <family val="2"/>
    </font>
    <font>
      <b/>
      <sz val="11"/>
      <color theme="1"/>
      <name val="Calibri"/>
      <family val="2"/>
    </font>
    <font>
      <b/>
      <sz val="11"/>
      <color theme="1"/>
      <name val="Calibri"/>
      <family val="2"/>
      <scheme val="minor"/>
    </font>
    <font>
      <sz val="10"/>
      <name val="Calibri"/>
      <family val="2"/>
    </font>
    <font>
      <sz val="9"/>
      <color theme="1"/>
      <name val="Calibri"/>
      <family val="2"/>
    </font>
    <font>
      <b/>
      <sz val="11"/>
      <name val="Calibri"/>
      <family val="2"/>
    </font>
    <font>
      <sz val="11"/>
      <name val="Calibri"/>
      <family val="2"/>
    </font>
    <font>
      <sz val="11"/>
      <color rgb="FF0000FF"/>
      <name val="Calibri"/>
      <family val="2"/>
    </font>
    <font>
      <u/>
      <sz val="11"/>
      <color rgb="FF008000"/>
      <name val="Calibri"/>
      <family val="2"/>
    </font>
    <font>
      <sz val="11"/>
      <color rgb="FF666666"/>
      <name val="Calibri"/>
      <family val="2"/>
    </font>
    <font>
      <u/>
      <sz val="11"/>
      <color theme="10"/>
      <name val="Calibri"/>
      <family val="2"/>
      <scheme val="minor"/>
    </font>
    <font>
      <sz val="10"/>
      <color theme="1"/>
      <name val="Arial Unicode MS"/>
    </font>
  </fonts>
  <fills count="8">
    <fill>
      <patternFill patternType="none"/>
    </fill>
    <fill>
      <patternFill patternType="gray125"/>
    </fill>
    <fill>
      <patternFill patternType="solid">
        <fgColor rgb="FF1F4E78"/>
      </patternFill>
    </fill>
    <fill>
      <patternFill patternType="solid">
        <fgColor rgb="FFEAF2F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2F0D9"/>
      </patternFill>
    </fill>
  </fills>
  <borders count="8">
    <border>
      <left/>
      <right/>
      <top/>
      <bottom/>
      <diagonal/>
    </border>
    <border>
      <left/>
      <right/>
      <top/>
      <bottom style="hair">
        <color rgb="FFDDDDDD"/>
      </bottom>
      <diagonal/>
    </border>
    <border>
      <left/>
      <right/>
      <top style="medium">
        <color rgb="FF1F4E78"/>
      </top>
      <bottom style="medium">
        <color rgb="FF1F4E78"/>
      </bottom>
      <diagonal/>
    </border>
    <border>
      <left/>
      <right/>
      <top/>
      <bottom style="medium">
        <color rgb="FF1F4E78"/>
      </bottom>
      <diagonal/>
    </border>
    <border>
      <left/>
      <right/>
      <top style="medium">
        <color rgb="FF1F4E78"/>
      </top>
      <bottom/>
      <diagonal/>
    </border>
    <border>
      <left/>
      <right/>
      <top style="medium">
        <color rgb="FF1F4E78"/>
      </top>
      <bottom/>
      <diagonal/>
    </border>
    <border>
      <left/>
      <right/>
      <top style="medium">
        <color rgb="FF1F4E78"/>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9" fillId="0" borderId="0" applyNumberFormat="0" applyFill="0" applyBorder="0" applyAlignment="0" applyProtection="0"/>
  </cellStyleXfs>
  <cellXfs count="68">
    <xf numFmtId="0" fontId="0" fillId="0" borderId="0" xfId="0"/>
    <xf numFmtId="0" fontId="0" fillId="0" borderId="0" xfId="0" applyAlignment="1">
      <alignment horizontal="center"/>
    </xf>
    <xf numFmtId="0" fontId="0" fillId="0" borderId="0" xfId="0"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1" fontId="5" fillId="0" borderId="1" xfId="0" applyNumberFormat="1" applyFont="1" applyBorder="1" applyAlignment="1">
      <alignment horizontal="center"/>
    </xf>
    <xf numFmtId="0" fontId="7" fillId="4" borderId="0" xfId="0" applyFont="1" applyFill="1" applyAlignment="1">
      <alignment horizontal="center" vertical="top" wrapText="1"/>
    </xf>
    <xf numFmtId="0" fontId="7" fillId="4" borderId="0" xfId="0" applyFont="1" applyFill="1" applyAlignment="1">
      <alignment vertical="top" wrapText="1"/>
    </xf>
    <xf numFmtId="1" fontId="7" fillId="4" borderId="0" xfId="0" applyNumberFormat="1" applyFont="1" applyFill="1" applyAlignment="1">
      <alignment vertical="top" wrapText="1"/>
    </xf>
    <xf numFmtId="1" fontId="5" fillId="0" borderId="1" xfId="0" applyNumberFormat="1" applyFont="1" applyBorder="1" applyAlignment="1">
      <alignment horizontal="center" vertical="top" wrapText="1"/>
    </xf>
    <xf numFmtId="1" fontId="0" fillId="0" borderId="0" xfId="0" applyNumberFormat="1" applyAlignment="1">
      <alignment vertical="top" wrapText="1"/>
    </xf>
    <xf numFmtId="1" fontId="5" fillId="0" borderId="1" xfId="0" applyNumberFormat="1" applyFont="1" applyBorder="1" applyAlignment="1">
      <alignment vertical="top" wrapText="1"/>
    </xf>
    <xf numFmtId="0" fontId="6" fillId="2" borderId="2" xfId="0" applyFont="1" applyFill="1" applyBorder="1" applyAlignment="1">
      <alignment vertical="top" wrapText="1"/>
    </xf>
    <xf numFmtId="0" fontId="12" fillId="6" borderId="3" xfId="0" applyFont="1" applyFill="1" applyBorder="1" applyAlignment="1">
      <alignment horizontal="left" vertical="center" wrapText="1"/>
    </xf>
    <xf numFmtId="0" fontId="12" fillId="6" borderId="3" xfId="0" applyFont="1" applyFill="1" applyBorder="1" applyAlignment="1">
      <alignment horizontal="center" vertical="center" wrapText="1"/>
    </xf>
    <xf numFmtId="0" fontId="14" fillId="7" borderId="4" xfId="0" applyFont="1" applyFill="1" applyBorder="1" applyAlignment="1">
      <alignment vertical="center" wrapText="1"/>
    </xf>
    <xf numFmtId="0" fontId="15" fillId="0" borderId="0" xfId="0" applyFont="1"/>
    <xf numFmtId="164" fontId="14" fillId="0" borderId="0" xfId="0" applyNumberFormat="1" applyFont="1"/>
    <xf numFmtId="0" fontId="16" fillId="5" borderId="0" xfId="0" applyFont="1" applyFill="1" applyAlignment="1">
      <alignment vertical="center" wrapText="1"/>
    </xf>
    <xf numFmtId="0" fontId="18" fillId="6" borderId="3" xfId="0" applyFont="1" applyFill="1" applyBorder="1" applyAlignment="1">
      <alignment horizontal="center" vertical="center" wrapText="1"/>
    </xf>
    <xf numFmtId="0" fontId="13" fillId="0" borderId="0" xfId="0" applyFont="1" applyAlignment="1">
      <alignment vertical="top" wrapText="1"/>
    </xf>
    <xf numFmtId="164" fontId="14" fillId="7" borderId="4" xfId="0" applyNumberFormat="1" applyFont="1" applyFill="1" applyBorder="1" applyAlignment="1">
      <alignment vertical="center" wrapText="1"/>
    </xf>
    <xf numFmtId="0" fontId="18" fillId="6" borderId="0" xfId="0" applyFont="1" applyFill="1" applyAlignment="1">
      <alignment horizontal="center" vertical="center" wrapText="1"/>
    </xf>
    <xf numFmtId="0" fontId="18" fillId="7" borderId="4" xfId="0" applyFont="1" applyFill="1" applyBorder="1" applyAlignment="1">
      <alignment vertical="center" wrapText="1"/>
    </xf>
    <xf numFmtId="164" fontId="18" fillId="7" borderId="4" xfId="0" applyNumberFormat="1" applyFont="1" applyFill="1" applyBorder="1" applyAlignment="1">
      <alignment vertical="center" wrapText="1"/>
    </xf>
    <xf numFmtId="0" fontId="4" fillId="2" borderId="2" xfId="0" applyFont="1" applyFill="1" applyBorder="1" applyAlignment="1">
      <alignment horizontal="center" vertical="center"/>
    </xf>
    <xf numFmtId="1" fontId="6" fillId="2" borderId="2" xfId="0" applyNumberFormat="1" applyFont="1" applyFill="1" applyBorder="1" applyAlignment="1">
      <alignment horizontal="center"/>
    </xf>
    <xf numFmtId="0" fontId="6" fillId="2" borderId="2" xfId="0" applyFont="1" applyFill="1" applyBorder="1" applyAlignment="1">
      <alignment horizontal="center"/>
    </xf>
    <xf numFmtId="1" fontId="6" fillId="2" borderId="2" xfId="0" applyNumberFormat="1" applyFont="1" applyFill="1" applyBorder="1" applyAlignment="1">
      <alignment horizontal="center" vertical="top" wrapText="1"/>
    </xf>
    <xf numFmtId="0" fontId="1" fillId="2" borderId="2" xfId="0" applyFont="1" applyFill="1" applyBorder="1" applyAlignment="1">
      <alignment vertical="top" wrapText="1"/>
    </xf>
    <xf numFmtId="0" fontId="19" fillId="0" borderId="0" xfId="0" applyFont="1" applyAlignment="1">
      <alignment vertical="top" wrapText="1"/>
    </xf>
    <xf numFmtId="0" fontId="19" fillId="0" borderId="0" xfId="0" applyFont="1" applyAlignment="1">
      <alignment horizontal="center" vertical="top"/>
    </xf>
    <xf numFmtId="0" fontId="19" fillId="0" borderId="0" xfId="0" applyFont="1" applyAlignment="1">
      <alignment horizontal="center" vertical="top" wrapText="1"/>
    </xf>
    <xf numFmtId="0" fontId="20" fillId="0" borderId="0" xfId="0" applyFont="1" applyAlignment="1">
      <alignment vertical="top" wrapText="1"/>
    </xf>
    <xf numFmtId="0" fontId="20" fillId="0" borderId="0" xfId="0" applyFont="1" applyAlignment="1">
      <alignment horizontal="center" vertical="top" wrapText="1"/>
    </xf>
    <xf numFmtId="0" fontId="20" fillId="0" borderId="0" xfId="0" applyFont="1" applyAlignment="1">
      <alignment horizontal="center" vertical="top"/>
    </xf>
    <xf numFmtId="0" fontId="4" fillId="5" borderId="0" xfId="0" applyFont="1" applyFill="1" applyAlignment="1">
      <alignment vertical="center" wrapText="1"/>
    </xf>
    <xf numFmtId="0" fontId="10" fillId="0" borderId="0" xfId="0" applyFont="1" applyAlignment="1">
      <alignment vertical="center" wrapText="1"/>
    </xf>
    <xf numFmtId="0" fontId="0" fillId="0" borderId="0" xfId="0"/>
    <xf numFmtId="0" fontId="9" fillId="3" borderId="0" xfId="0" applyFont="1" applyFill="1" applyAlignment="1">
      <alignment horizontal="center" vertical="top" wrapText="1"/>
    </xf>
    <xf numFmtId="0" fontId="8" fillId="3" borderId="0" xfId="0" applyFont="1" applyFill="1" applyAlignment="1">
      <alignment horizontal="center" vertical="top" wrapText="1"/>
    </xf>
    <xf numFmtId="0" fontId="3" fillId="0" borderId="0" xfId="0" applyFont="1" applyAlignment="1">
      <alignment horizontal="center"/>
    </xf>
    <xf numFmtId="0" fontId="6" fillId="2" borderId="2" xfId="0" applyFont="1" applyFill="1" applyBorder="1" applyAlignment="1">
      <alignment vertical="top" wrapText="1"/>
    </xf>
    <xf numFmtId="0" fontId="0" fillId="0" borderId="2" xfId="0" applyBorder="1"/>
    <xf numFmtId="0" fontId="16" fillId="5" borderId="0" xfId="0" applyFont="1" applyFill="1" applyAlignment="1">
      <alignment vertical="center" wrapText="1"/>
    </xf>
    <xf numFmtId="0" fontId="11" fillId="5" borderId="0" xfId="0" applyFont="1" applyFill="1" applyAlignment="1">
      <alignment vertical="center" wrapText="1"/>
    </xf>
    <xf numFmtId="0" fontId="14" fillId="7" borderId="6" xfId="0" applyFont="1" applyFill="1" applyBorder="1" applyAlignment="1">
      <alignment vertical="center" wrapText="1"/>
    </xf>
    <xf numFmtId="0" fontId="0" fillId="0" borderId="5" xfId="0" applyBorder="1"/>
    <xf numFmtId="0" fontId="2" fillId="3" borderId="0" xfId="0" applyFont="1" applyFill="1" applyAlignment="1">
      <alignment horizontal="center" vertical="top" wrapText="1"/>
    </xf>
    <xf numFmtId="0" fontId="17" fillId="5" borderId="0" xfId="0" applyFont="1" applyFill="1" applyAlignment="1">
      <alignment vertical="center"/>
    </xf>
    <xf numFmtId="0" fontId="18" fillId="7" borderId="6" xfId="0" applyFont="1" applyFill="1" applyBorder="1" applyAlignment="1">
      <alignment vertical="center" wrapText="1"/>
    </xf>
    <xf numFmtId="0" fontId="11" fillId="5" borderId="0" xfId="0" applyFont="1" applyFill="1" applyAlignment="1">
      <alignment vertical="center"/>
    </xf>
    <xf numFmtId="0" fontId="22" fillId="0" borderId="0" xfId="0" applyFont="1" applyAlignment="1">
      <alignment vertical="top" wrapText="1"/>
    </xf>
    <xf numFmtId="164" fontId="22" fillId="0" borderId="0" xfId="0" applyNumberFormat="1" applyFont="1" applyAlignment="1">
      <alignment vertical="top" wrapText="1"/>
    </xf>
    <xf numFmtId="0" fontId="23" fillId="0" borderId="7" xfId="0" applyFont="1" applyBorder="1" applyAlignment="1">
      <alignment vertical="center" wrapText="1"/>
    </xf>
    <xf numFmtId="0" fontId="22" fillId="0" borderId="0" xfId="0" applyFont="1" applyAlignment="1">
      <alignment horizontal="center" vertical="top" wrapText="1"/>
    </xf>
    <xf numFmtId="0" fontId="18" fillId="7" borderId="4" xfId="0" applyFont="1" applyFill="1" applyBorder="1" applyAlignment="1">
      <alignment horizontal="center" vertical="center" wrapText="1"/>
    </xf>
    <xf numFmtId="0" fontId="13" fillId="0" borderId="0" xfId="0" applyFont="1" applyAlignment="1">
      <alignment horizontal="center" vertical="top" wrapText="1"/>
    </xf>
    <xf numFmtId="164" fontId="22" fillId="0" borderId="0" xfId="0" applyNumberFormat="1" applyFont="1" applyAlignment="1">
      <alignment horizontal="center" vertical="top" wrapText="1"/>
    </xf>
    <xf numFmtId="164" fontId="18" fillId="7" borderId="4" xfId="0" applyNumberFormat="1" applyFont="1" applyFill="1" applyBorder="1" applyAlignment="1">
      <alignment horizontal="center" vertical="center" wrapText="1"/>
    </xf>
    <xf numFmtId="0" fontId="24" fillId="6" borderId="0" xfId="0" applyFont="1" applyFill="1" applyAlignment="1">
      <alignment horizontal="center" vertical="center" wrapText="1"/>
    </xf>
    <xf numFmtId="0" fontId="25" fillId="0" borderId="0" xfId="0" applyFont="1" applyAlignment="1">
      <alignment vertical="top" wrapText="1"/>
    </xf>
    <xf numFmtId="164" fontId="26" fillId="0" borderId="0" xfId="0" applyNumberFormat="1" applyFont="1" applyAlignment="1">
      <alignment vertical="top" wrapText="1"/>
    </xf>
    <xf numFmtId="0" fontId="27" fillId="0" borderId="0" xfId="0" applyFont="1" applyAlignment="1">
      <alignment vertical="top" wrapText="1"/>
    </xf>
    <xf numFmtId="0" fontId="28" fillId="0" borderId="0" xfId="0" applyFont="1" applyAlignment="1">
      <alignment vertical="top" wrapText="1"/>
    </xf>
    <xf numFmtId="0" fontId="0" fillId="0" borderId="0" xfId="0" applyAlignment="1">
      <alignment wrapText="1"/>
    </xf>
    <xf numFmtId="0" fontId="29" fillId="0" borderId="0" xfId="1" applyAlignment="1">
      <alignment vertical="top" wrapText="1"/>
    </xf>
    <xf numFmtId="0" fontId="2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mporal.io/get-cloud/aws-marketplace" TargetMode="External"/><Relationship Id="rId1" Type="http://schemas.openxmlformats.org/officeDocument/2006/relationships/hyperlink" Target="https://azure.microsoft.com/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53"/>
  <sheetViews>
    <sheetView showGridLines="0" tabSelected="1" workbookViewId="0">
      <pane ySplit="3" topLeftCell="A4" activePane="bottomLeft" state="frozen"/>
      <selection pane="bottomLeft" activeCell="D14" sqref="D14"/>
    </sheetView>
  </sheetViews>
  <sheetFormatPr defaultRowHeight="15"/>
  <cols>
    <col min="1" max="1" width="3" customWidth="1"/>
    <col min="2" max="2" width="26" customWidth="1"/>
    <col min="3" max="3" width="15.140625" customWidth="1"/>
    <col min="4" max="4" width="100" customWidth="1"/>
    <col min="5" max="5" width="19.5703125" customWidth="1"/>
    <col min="6" max="6" width="55" customWidth="1"/>
  </cols>
  <sheetData>
    <row r="1" spans="2:6" ht="30" customHeight="1">
      <c r="B1" s="41" t="s">
        <v>0</v>
      </c>
      <c r="C1" s="38"/>
      <c r="D1" s="38"/>
      <c r="E1" s="38"/>
      <c r="F1" s="38"/>
    </row>
    <row r="2" spans="2:6" ht="30" customHeight="1">
      <c r="B2" s="37" t="s">
        <v>1</v>
      </c>
      <c r="C2" s="38"/>
      <c r="D2" s="38"/>
      <c r="E2" s="38"/>
      <c r="F2" s="38"/>
    </row>
    <row r="3" spans="2:6" ht="21.95" customHeight="1">
      <c r="B3" s="25" t="s">
        <v>2</v>
      </c>
      <c r="C3" s="25" t="s">
        <v>3</v>
      </c>
      <c r="D3" s="25" t="s">
        <v>4</v>
      </c>
      <c r="E3" s="25" t="s">
        <v>5</v>
      </c>
    </row>
    <row r="4" spans="2:6" ht="20.100000000000001" customHeight="1">
      <c r="B4" s="3" t="s">
        <v>6</v>
      </c>
      <c r="C4" s="3" t="s">
        <v>7</v>
      </c>
      <c r="D4" s="4" t="s">
        <v>8</v>
      </c>
      <c r="E4" s="5">
        <f>E42</f>
        <v>100</v>
      </c>
    </row>
    <row r="5" spans="2:6" ht="20.100000000000001" customHeight="1">
      <c r="B5" s="3" t="s">
        <v>9</v>
      </c>
      <c r="C5" s="3" t="s">
        <v>10</v>
      </c>
      <c r="D5" s="4" t="s">
        <v>11</v>
      </c>
      <c r="E5" s="5">
        <f>E47</f>
        <v>36</v>
      </c>
    </row>
    <row r="6" spans="2:6" ht="20.100000000000001" customHeight="1">
      <c r="B6" s="3" t="s">
        <v>9</v>
      </c>
      <c r="C6" s="3" t="s">
        <v>12</v>
      </c>
      <c r="D6" s="4" t="s">
        <v>13</v>
      </c>
      <c r="E6" s="5">
        <f>E54</f>
        <v>46</v>
      </c>
    </row>
    <row r="7" spans="2:6" ht="20.100000000000001" customHeight="1">
      <c r="B7" s="3" t="s">
        <v>9</v>
      </c>
      <c r="C7" s="3" t="s">
        <v>14</v>
      </c>
      <c r="D7" s="4" t="s">
        <v>15</v>
      </c>
      <c r="E7" s="5">
        <f>E63</f>
        <v>56</v>
      </c>
    </row>
    <row r="8" spans="2:6" ht="20.100000000000001" customHeight="1">
      <c r="B8" s="3" t="s">
        <v>16</v>
      </c>
      <c r="C8" s="3" t="s">
        <v>17</v>
      </c>
      <c r="D8" s="4" t="s">
        <v>18</v>
      </c>
      <c r="E8" s="5">
        <f>E73</f>
        <v>42</v>
      </c>
    </row>
    <row r="9" spans="2:6" ht="20.100000000000001" customHeight="1">
      <c r="B9" s="3" t="s">
        <v>16</v>
      </c>
      <c r="C9" s="3" t="s">
        <v>19</v>
      </c>
      <c r="D9" s="4" t="s">
        <v>20</v>
      </c>
      <c r="E9" s="5">
        <f>E82</f>
        <v>16</v>
      </c>
    </row>
    <row r="10" spans="2:6" ht="20.100000000000001" customHeight="1">
      <c r="B10" s="3" t="s">
        <v>16</v>
      </c>
      <c r="C10" s="3" t="s">
        <v>21</v>
      </c>
      <c r="D10" s="4" t="s">
        <v>22</v>
      </c>
      <c r="E10" s="5">
        <f>E89</f>
        <v>26</v>
      </c>
    </row>
    <row r="11" spans="2:6" ht="20.100000000000001" customHeight="1">
      <c r="B11" s="3" t="s">
        <v>23</v>
      </c>
      <c r="C11" s="3" t="s">
        <v>24</v>
      </c>
      <c r="D11" s="4" t="s">
        <v>25</v>
      </c>
      <c r="E11" s="5">
        <f>E99</f>
        <v>48</v>
      </c>
    </row>
    <row r="12" spans="2:6" ht="20.100000000000001" customHeight="1">
      <c r="B12" s="3" t="s">
        <v>23</v>
      </c>
      <c r="C12" s="3" t="s">
        <v>26</v>
      </c>
      <c r="D12" s="4" t="s">
        <v>27</v>
      </c>
      <c r="E12" s="5">
        <f>E110</f>
        <v>46</v>
      </c>
    </row>
    <row r="13" spans="2:6" ht="20.100000000000001" customHeight="1">
      <c r="B13" s="3" t="s">
        <v>23</v>
      </c>
      <c r="C13" s="3" t="s">
        <v>28</v>
      </c>
      <c r="D13" s="4" t="s">
        <v>29</v>
      </c>
      <c r="E13" s="5">
        <f>E121</f>
        <v>48</v>
      </c>
    </row>
    <row r="14" spans="2:6" ht="20.100000000000001" customHeight="1">
      <c r="B14" s="3" t="s">
        <v>23</v>
      </c>
      <c r="C14" s="3" t="s">
        <v>30</v>
      </c>
      <c r="D14" s="4" t="s">
        <v>31</v>
      </c>
      <c r="E14" s="5">
        <f>E132</f>
        <v>46</v>
      </c>
    </row>
    <row r="15" spans="2:6" ht="20.100000000000001" customHeight="1">
      <c r="B15" s="3" t="s">
        <v>32</v>
      </c>
      <c r="C15" s="3" t="s">
        <v>33</v>
      </c>
      <c r="D15" s="4" t="s">
        <v>34</v>
      </c>
      <c r="E15" s="5">
        <f>E142</f>
        <v>38</v>
      </c>
    </row>
    <row r="16" spans="2:6" ht="20.100000000000001" customHeight="1">
      <c r="B16" s="3" t="s">
        <v>32</v>
      </c>
      <c r="C16" s="3" t="s">
        <v>35</v>
      </c>
      <c r="D16" s="4" t="s">
        <v>36</v>
      </c>
      <c r="E16" s="5">
        <f>E152</f>
        <v>42</v>
      </c>
    </row>
    <row r="17" spans="2:6" ht="20.100000000000001" customHeight="1">
      <c r="B17" s="3" t="s">
        <v>32</v>
      </c>
      <c r="C17" s="3" t="s">
        <v>37</v>
      </c>
      <c r="D17" s="4" t="s">
        <v>38</v>
      </c>
      <c r="E17" s="5">
        <f>E163</f>
        <v>74</v>
      </c>
    </row>
    <row r="18" spans="2:6" ht="20.100000000000001" customHeight="1">
      <c r="B18" s="3" t="s">
        <v>39</v>
      </c>
      <c r="C18" s="3" t="s">
        <v>40</v>
      </c>
      <c r="D18" s="4" t="s">
        <v>41</v>
      </c>
      <c r="E18" s="5">
        <f>E175</f>
        <v>30</v>
      </c>
    </row>
    <row r="19" spans="2:6" ht="20.100000000000001" customHeight="1">
      <c r="B19" s="3" t="s">
        <v>39</v>
      </c>
      <c r="C19" s="3" t="s">
        <v>42</v>
      </c>
      <c r="D19" s="4" t="s">
        <v>43</v>
      </c>
      <c r="E19" s="5">
        <f>E184</f>
        <v>22</v>
      </c>
    </row>
    <row r="20" spans="2:6" ht="20.100000000000001" customHeight="1">
      <c r="B20" s="3" t="s">
        <v>39</v>
      </c>
      <c r="C20" s="3" t="s">
        <v>44</v>
      </c>
      <c r="D20" s="4" t="s">
        <v>45</v>
      </c>
      <c r="E20" s="5">
        <f>E193</f>
        <v>56</v>
      </c>
    </row>
    <row r="21" spans="2:6" ht="20.100000000000001" customHeight="1">
      <c r="B21" s="3" t="s">
        <v>39</v>
      </c>
      <c r="C21" s="3">
        <v>17</v>
      </c>
      <c r="D21" s="4" t="s">
        <v>46</v>
      </c>
      <c r="E21" s="5">
        <f>E202</f>
        <v>56</v>
      </c>
    </row>
    <row r="22" spans="2:6" ht="20.100000000000001" customHeight="1">
      <c r="B22" s="3" t="s">
        <v>47</v>
      </c>
      <c r="C22" s="3" t="s">
        <v>48</v>
      </c>
      <c r="D22" s="4" t="s">
        <v>49</v>
      </c>
      <c r="E22" s="5">
        <f>E214</f>
        <v>60</v>
      </c>
    </row>
    <row r="23" spans="2:6" ht="20.100000000000001" customHeight="1">
      <c r="B23" s="3" t="s">
        <v>47</v>
      </c>
      <c r="C23" s="3">
        <v>19</v>
      </c>
      <c r="D23" s="4" t="s">
        <v>50</v>
      </c>
      <c r="E23" s="5">
        <f>E223</f>
        <v>46</v>
      </c>
    </row>
    <row r="24" spans="2:6" ht="20.100000000000001" customHeight="1">
      <c r="B24" s="42" t="s">
        <v>51</v>
      </c>
      <c r="C24" s="43"/>
      <c r="D24" s="43"/>
      <c r="E24" s="26">
        <f>SUM(E4:E23)</f>
        <v>934</v>
      </c>
    </row>
    <row r="25" spans="2:6" ht="20.100000000000001" customHeight="1">
      <c r="B25" s="12" t="s">
        <v>52</v>
      </c>
      <c r="C25" s="1">
        <v>20</v>
      </c>
      <c r="D25" t="s">
        <v>53</v>
      </c>
      <c r="E25" s="27">
        <v>46</v>
      </c>
    </row>
    <row r="26" spans="2:6" ht="20.100000000000001" customHeight="1">
      <c r="B26" s="42" t="s">
        <v>54</v>
      </c>
      <c r="C26" s="43"/>
      <c r="D26" s="43"/>
      <c r="E26" s="26">
        <f>E24+E25</f>
        <v>980</v>
      </c>
    </row>
    <row r="28" spans="2:6" ht="24.95" customHeight="1">
      <c r="B28" s="45" t="s">
        <v>55</v>
      </c>
      <c r="C28" s="38"/>
      <c r="D28" s="38"/>
      <c r="E28" s="38"/>
      <c r="F28" s="38"/>
    </row>
    <row r="29" spans="2:6">
      <c r="B29" s="13" t="s">
        <v>56</v>
      </c>
      <c r="C29" s="14" t="s">
        <v>3</v>
      </c>
      <c r="D29" s="13" t="s">
        <v>57</v>
      </c>
      <c r="E29" s="14" t="s">
        <v>58</v>
      </c>
      <c r="F29" s="13" t="s">
        <v>59</v>
      </c>
    </row>
    <row r="30" spans="2:6" ht="75">
      <c r="B30" s="33" t="s">
        <v>6</v>
      </c>
      <c r="C30" s="34" t="s">
        <v>60</v>
      </c>
      <c r="D30" s="33" t="s">
        <v>61</v>
      </c>
      <c r="E30" s="35">
        <f>SUM(E31:E41)</f>
        <v>100</v>
      </c>
      <c r="F30" s="33" t="s">
        <v>62</v>
      </c>
    </row>
    <row r="31" spans="2:6" ht="45">
      <c r="B31" s="30"/>
      <c r="C31" s="32" t="s">
        <v>63</v>
      </c>
      <c r="D31" s="30" t="s">
        <v>64</v>
      </c>
      <c r="E31" s="31">
        <v>7</v>
      </c>
      <c r="F31" s="30" t="s">
        <v>65</v>
      </c>
    </row>
    <row r="32" spans="2:6" ht="60">
      <c r="B32" s="30"/>
      <c r="C32" s="32" t="s">
        <v>66</v>
      </c>
      <c r="D32" s="30" t="s">
        <v>67</v>
      </c>
      <c r="E32" s="31">
        <v>10</v>
      </c>
      <c r="F32" s="30" t="s">
        <v>68</v>
      </c>
    </row>
    <row r="33" spans="2:6" ht="45">
      <c r="B33" s="30"/>
      <c r="C33" s="32" t="s">
        <v>69</v>
      </c>
      <c r="D33" s="30" t="s">
        <v>70</v>
      </c>
      <c r="E33" s="31">
        <v>7</v>
      </c>
      <c r="F33" s="30" t="s">
        <v>71</v>
      </c>
    </row>
    <row r="34" spans="2:6" ht="60">
      <c r="B34" s="30"/>
      <c r="C34" s="32" t="s">
        <v>72</v>
      </c>
      <c r="D34" s="30" t="s">
        <v>73</v>
      </c>
      <c r="E34" s="31">
        <v>15</v>
      </c>
      <c r="F34" s="30" t="s">
        <v>74</v>
      </c>
    </row>
    <row r="35" spans="2:6" ht="60">
      <c r="B35" s="30"/>
      <c r="C35" s="32" t="s">
        <v>75</v>
      </c>
      <c r="D35" s="30" t="s">
        <v>76</v>
      </c>
      <c r="E35" s="31">
        <v>12</v>
      </c>
      <c r="F35" s="30" t="s">
        <v>77</v>
      </c>
    </row>
    <row r="36" spans="2:6" ht="60">
      <c r="B36" s="30"/>
      <c r="C36" s="32" t="s">
        <v>78</v>
      </c>
      <c r="D36" s="30" t="s">
        <v>79</v>
      </c>
      <c r="E36" s="31">
        <v>7</v>
      </c>
      <c r="F36" s="30" t="s">
        <v>80</v>
      </c>
    </row>
    <row r="37" spans="2:6" ht="60">
      <c r="B37" s="30"/>
      <c r="C37" s="32" t="s">
        <v>81</v>
      </c>
      <c r="D37" s="30" t="s">
        <v>82</v>
      </c>
      <c r="E37" s="31">
        <v>10</v>
      </c>
      <c r="F37" s="30" t="s">
        <v>83</v>
      </c>
    </row>
    <row r="38" spans="2:6" ht="45">
      <c r="B38" s="30"/>
      <c r="C38" s="32" t="s">
        <v>84</v>
      </c>
      <c r="D38" s="30" t="s">
        <v>85</v>
      </c>
      <c r="E38" s="31">
        <v>8</v>
      </c>
      <c r="F38" s="30" t="s">
        <v>86</v>
      </c>
    </row>
    <row r="39" spans="2:6" ht="45">
      <c r="B39" s="30"/>
      <c r="C39" s="32" t="s">
        <v>87</v>
      </c>
      <c r="D39" s="30" t="s">
        <v>88</v>
      </c>
      <c r="E39" s="31">
        <v>7</v>
      </c>
      <c r="F39" s="30" t="s">
        <v>89</v>
      </c>
    </row>
    <row r="40" spans="2:6" ht="60">
      <c r="B40" s="30"/>
      <c r="C40" s="32" t="s">
        <v>90</v>
      </c>
      <c r="D40" s="30" t="s">
        <v>91</v>
      </c>
      <c r="E40" s="31">
        <v>7</v>
      </c>
      <c r="F40" s="30" t="s">
        <v>92</v>
      </c>
    </row>
    <row r="41" spans="2:6" ht="60">
      <c r="B41" s="30"/>
      <c r="C41" s="32" t="s">
        <v>93</v>
      </c>
      <c r="D41" s="30" t="s">
        <v>94</v>
      </c>
      <c r="E41" s="31">
        <v>10</v>
      </c>
      <c r="F41" s="30" t="s">
        <v>95</v>
      </c>
    </row>
    <row r="42" spans="2:6">
      <c r="B42" s="46" t="s">
        <v>96</v>
      </c>
      <c r="C42" s="47"/>
      <c r="D42" s="47"/>
      <c r="E42" s="15">
        <f>E30</f>
        <v>100</v>
      </c>
      <c r="F42" s="15"/>
    </row>
    <row r="43" spans="2:6">
      <c r="B43" s="38" t="s">
        <v>97</v>
      </c>
      <c r="C43" s="38"/>
      <c r="D43" s="38"/>
      <c r="E43" s="16">
        <v>25</v>
      </c>
      <c r="F43" t="s">
        <v>98</v>
      </c>
    </row>
    <row r="44" spans="2:6">
      <c r="B44" s="38" t="s">
        <v>99</v>
      </c>
      <c r="C44" s="38"/>
      <c r="D44" s="38"/>
      <c r="E44" s="17">
        <f>E42*E43</f>
        <v>2500</v>
      </c>
      <c r="F44" t="s">
        <v>100</v>
      </c>
    </row>
    <row r="45" spans="2:6" ht="30">
      <c r="B45" s="44" t="s">
        <v>54</v>
      </c>
      <c r="C45" s="38"/>
      <c r="D45" s="38"/>
      <c r="E45" s="18">
        <f>E42+E251+E252</f>
        <v>980</v>
      </c>
      <c r="F45" s="36" t="s">
        <v>101</v>
      </c>
    </row>
    <row r="46" spans="2:6" ht="30" customHeight="1">
      <c r="B46" s="48" t="s">
        <v>102</v>
      </c>
      <c r="C46" s="38"/>
      <c r="D46" s="38"/>
      <c r="E46" s="38"/>
      <c r="F46" s="38"/>
    </row>
    <row r="47" spans="2:6" ht="30" customHeight="1">
      <c r="B47" s="6" t="s">
        <v>9</v>
      </c>
      <c r="C47" s="6" t="s">
        <v>103</v>
      </c>
      <c r="D47" s="7" t="s">
        <v>11</v>
      </c>
      <c r="E47" s="8">
        <f>SUM(E48:E52)</f>
        <v>36</v>
      </c>
      <c r="F47" s="7" t="s">
        <v>104</v>
      </c>
    </row>
    <row r="48" spans="2:6" ht="48.95" customHeight="1">
      <c r="B48" s="3"/>
      <c r="C48" s="3" t="s">
        <v>105</v>
      </c>
      <c r="D48" s="4" t="s">
        <v>106</v>
      </c>
      <c r="E48" s="9">
        <v>6</v>
      </c>
      <c r="F48" s="4" t="s">
        <v>107</v>
      </c>
    </row>
    <row r="49" spans="2:6" ht="63.95" customHeight="1">
      <c r="B49" s="3"/>
      <c r="C49" s="3" t="s">
        <v>108</v>
      </c>
      <c r="D49" s="4" t="s">
        <v>109</v>
      </c>
      <c r="E49" s="9">
        <v>10</v>
      </c>
      <c r="F49" s="4" t="s">
        <v>110</v>
      </c>
    </row>
    <row r="50" spans="2:6" ht="48.95" customHeight="1">
      <c r="B50" s="3"/>
      <c r="C50" s="3" t="s">
        <v>111</v>
      </c>
      <c r="D50" s="4" t="s">
        <v>112</v>
      </c>
      <c r="E50" s="9">
        <v>8</v>
      </c>
      <c r="F50" s="4" t="s">
        <v>113</v>
      </c>
    </row>
    <row r="51" spans="2:6" ht="48.95" customHeight="1">
      <c r="B51" s="3"/>
      <c r="C51" s="3" t="s">
        <v>114</v>
      </c>
      <c r="D51" s="4" t="s">
        <v>115</v>
      </c>
      <c r="E51" s="9">
        <v>6</v>
      </c>
      <c r="F51" s="4" t="s">
        <v>116</v>
      </c>
    </row>
    <row r="52" spans="2:6" ht="48.95" customHeight="1">
      <c r="B52" s="3"/>
      <c r="C52" s="3" t="s">
        <v>117</v>
      </c>
      <c r="D52" s="4" t="s">
        <v>118</v>
      </c>
      <c r="E52" s="9">
        <v>6</v>
      </c>
      <c r="F52" s="4" t="s">
        <v>119</v>
      </c>
    </row>
    <row r="53" spans="2:6" ht="30" customHeight="1">
      <c r="B53" s="2"/>
      <c r="C53" s="2"/>
      <c r="D53" s="2"/>
      <c r="E53" s="10"/>
      <c r="F53" s="2"/>
    </row>
    <row r="54" spans="2:6" ht="30" customHeight="1">
      <c r="B54" s="6" t="s">
        <v>9</v>
      </c>
      <c r="C54" s="6" t="s">
        <v>120</v>
      </c>
      <c r="D54" s="7" t="s">
        <v>13</v>
      </c>
      <c r="E54" s="8">
        <f>SUM(E55:E61)</f>
        <v>46</v>
      </c>
      <c r="F54" s="7" t="s">
        <v>104</v>
      </c>
    </row>
    <row r="55" spans="2:6" ht="48.95" customHeight="1">
      <c r="B55" s="3"/>
      <c r="C55" s="3" t="s">
        <v>121</v>
      </c>
      <c r="D55" s="4" t="s">
        <v>122</v>
      </c>
      <c r="E55" s="9">
        <v>6</v>
      </c>
      <c r="F55" s="4" t="s">
        <v>123</v>
      </c>
    </row>
    <row r="56" spans="2:6" ht="48.95" customHeight="1">
      <c r="B56" s="3"/>
      <c r="C56" s="3" t="s">
        <v>124</v>
      </c>
      <c r="D56" s="4" t="s">
        <v>125</v>
      </c>
      <c r="E56" s="9">
        <v>8</v>
      </c>
      <c r="F56" s="4" t="s">
        <v>126</v>
      </c>
    </row>
    <row r="57" spans="2:6" ht="48.95" customHeight="1">
      <c r="B57" s="3"/>
      <c r="C57" s="3" t="s">
        <v>127</v>
      </c>
      <c r="D57" s="4" t="s">
        <v>128</v>
      </c>
      <c r="E57" s="9">
        <v>7</v>
      </c>
      <c r="F57" s="4" t="s">
        <v>129</v>
      </c>
    </row>
    <row r="58" spans="2:6" ht="48.95" customHeight="1">
      <c r="B58" s="3"/>
      <c r="C58" s="3" t="s">
        <v>130</v>
      </c>
      <c r="D58" s="4" t="s">
        <v>131</v>
      </c>
      <c r="E58" s="9">
        <v>7</v>
      </c>
      <c r="F58" s="4" t="s">
        <v>132</v>
      </c>
    </row>
    <row r="59" spans="2:6" ht="48.95" customHeight="1">
      <c r="B59" s="3"/>
      <c r="C59" s="3" t="s">
        <v>133</v>
      </c>
      <c r="D59" s="4" t="s">
        <v>134</v>
      </c>
      <c r="E59" s="9">
        <v>6</v>
      </c>
      <c r="F59" s="4" t="s">
        <v>135</v>
      </c>
    </row>
    <row r="60" spans="2:6" ht="48.95" customHeight="1">
      <c r="B60" s="3"/>
      <c r="C60" s="3" t="s">
        <v>136</v>
      </c>
      <c r="D60" s="4" t="s">
        <v>137</v>
      </c>
      <c r="E60" s="9">
        <v>6</v>
      </c>
      <c r="F60" s="4" t="s">
        <v>138</v>
      </c>
    </row>
    <row r="61" spans="2:6" ht="48.95" customHeight="1">
      <c r="B61" s="3"/>
      <c r="C61" s="3" t="s">
        <v>139</v>
      </c>
      <c r="D61" s="4" t="s">
        <v>140</v>
      </c>
      <c r="E61" s="9">
        <v>6</v>
      </c>
      <c r="F61" s="4" t="s">
        <v>141</v>
      </c>
    </row>
    <row r="62" spans="2:6" ht="30" customHeight="1">
      <c r="B62" s="2"/>
      <c r="C62" s="2"/>
      <c r="D62" s="2"/>
      <c r="E62" s="10"/>
      <c r="F62" s="2"/>
    </row>
    <row r="63" spans="2:6" ht="30" customHeight="1">
      <c r="B63" s="6" t="s">
        <v>9</v>
      </c>
      <c r="C63" s="6" t="s">
        <v>142</v>
      </c>
      <c r="D63" s="7" t="s">
        <v>15</v>
      </c>
      <c r="E63" s="8">
        <f>SUM(E64:E70)</f>
        <v>56</v>
      </c>
      <c r="F63" s="7" t="s">
        <v>104</v>
      </c>
    </row>
    <row r="64" spans="2:6" ht="48.95" customHeight="1">
      <c r="B64" s="3"/>
      <c r="C64" s="3" t="s">
        <v>143</v>
      </c>
      <c r="D64" s="4" t="s">
        <v>144</v>
      </c>
      <c r="E64" s="9">
        <v>8</v>
      </c>
      <c r="F64" s="4" t="s">
        <v>145</v>
      </c>
    </row>
    <row r="65" spans="2:6" ht="48.95" customHeight="1">
      <c r="B65" s="3"/>
      <c r="C65" s="3" t="s">
        <v>146</v>
      </c>
      <c r="D65" s="4" t="s">
        <v>147</v>
      </c>
      <c r="E65" s="9">
        <v>8</v>
      </c>
      <c r="F65" s="4" t="s">
        <v>148</v>
      </c>
    </row>
    <row r="66" spans="2:6" ht="48.95" customHeight="1">
      <c r="B66" s="3"/>
      <c r="C66" s="3" t="s">
        <v>149</v>
      </c>
      <c r="D66" s="4" t="s">
        <v>150</v>
      </c>
      <c r="E66" s="9">
        <v>8</v>
      </c>
      <c r="F66" s="4" t="s">
        <v>151</v>
      </c>
    </row>
    <row r="67" spans="2:6" ht="48.95" customHeight="1">
      <c r="B67" s="3"/>
      <c r="C67" s="3" t="s">
        <v>152</v>
      </c>
      <c r="D67" s="4" t="s">
        <v>153</v>
      </c>
      <c r="E67" s="9">
        <v>8</v>
      </c>
      <c r="F67" s="4" t="s">
        <v>154</v>
      </c>
    </row>
    <row r="68" spans="2:6" ht="48.95" customHeight="1">
      <c r="B68" s="3"/>
      <c r="C68" s="3" t="s">
        <v>155</v>
      </c>
      <c r="D68" s="4" t="s">
        <v>156</v>
      </c>
      <c r="E68" s="9">
        <v>10</v>
      </c>
      <c r="F68" s="4" t="s">
        <v>157</v>
      </c>
    </row>
    <row r="69" spans="2:6" ht="48.95" customHeight="1">
      <c r="B69" s="3"/>
      <c r="C69" s="3" t="s">
        <v>158</v>
      </c>
      <c r="D69" s="4" t="s">
        <v>159</v>
      </c>
      <c r="E69" s="9">
        <v>8</v>
      </c>
      <c r="F69" s="4" t="s">
        <v>160</v>
      </c>
    </row>
    <row r="70" spans="2:6" ht="48.95" customHeight="1">
      <c r="B70" s="3"/>
      <c r="C70" s="3" t="s">
        <v>161</v>
      </c>
      <c r="D70" s="4" t="s">
        <v>162</v>
      </c>
      <c r="E70" s="9">
        <v>6</v>
      </c>
      <c r="F70" s="4" t="s">
        <v>163</v>
      </c>
    </row>
    <row r="71" spans="2:6" ht="30" customHeight="1">
      <c r="B71" s="2"/>
      <c r="C71" s="2"/>
      <c r="D71" s="2"/>
      <c r="E71" s="10"/>
      <c r="F71" s="2"/>
    </row>
    <row r="72" spans="2:6" ht="30" customHeight="1">
      <c r="B72" s="40" t="s">
        <v>164</v>
      </c>
      <c r="C72" s="38"/>
      <c r="D72" s="38"/>
      <c r="E72" s="38"/>
      <c r="F72" s="38"/>
    </row>
    <row r="73" spans="2:6" ht="30" customHeight="1">
      <c r="B73" s="6" t="s">
        <v>16</v>
      </c>
      <c r="C73" s="6" t="s">
        <v>165</v>
      </c>
      <c r="D73" s="7" t="s">
        <v>18</v>
      </c>
      <c r="E73" s="8">
        <f>SUM(E74:E80)</f>
        <v>42</v>
      </c>
      <c r="F73" s="7" t="s">
        <v>104</v>
      </c>
    </row>
    <row r="74" spans="2:6" ht="48.95" customHeight="1">
      <c r="B74" s="3"/>
      <c r="C74" s="3" t="s">
        <v>166</v>
      </c>
      <c r="D74" s="4" t="s">
        <v>167</v>
      </c>
      <c r="E74" s="9">
        <v>6</v>
      </c>
      <c r="F74" s="4" t="s">
        <v>168</v>
      </c>
    </row>
    <row r="75" spans="2:6" ht="48.95" customHeight="1">
      <c r="B75" s="3"/>
      <c r="C75" s="3" t="s">
        <v>169</v>
      </c>
      <c r="D75" s="4" t="s">
        <v>170</v>
      </c>
      <c r="E75" s="9">
        <v>5</v>
      </c>
      <c r="F75" s="4" t="s">
        <v>171</v>
      </c>
    </row>
    <row r="76" spans="2:6" ht="33.950000000000003" customHeight="1">
      <c r="B76" s="3"/>
      <c r="C76" s="3" t="s">
        <v>172</v>
      </c>
      <c r="D76" s="4" t="s">
        <v>173</v>
      </c>
      <c r="E76" s="9">
        <v>6</v>
      </c>
      <c r="F76" s="4" t="s">
        <v>174</v>
      </c>
    </row>
    <row r="77" spans="2:6" ht="48.95" customHeight="1">
      <c r="B77" s="3"/>
      <c r="C77" s="3" t="s">
        <v>175</v>
      </c>
      <c r="D77" s="4" t="s">
        <v>176</v>
      </c>
      <c r="E77" s="9">
        <v>6</v>
      </c>
      <c r="F77" s="4" t="s">
        <v>177</v>
      </c>
    </row>
    <row r="78" spans="2:6" ht="48.95" customHeight="1">
      <c r="B78" s="3"/>
      <c r="C78" s="3" t="s">
        <v>178</v>
      </c>
      <c r="D78" s="4" t="s">
        <v>179</v>
      </c>
      <c r="E78" s="9">
        <v>6</v>
      </c>
      <c r="F78" s="4" t="s">
        <v>180</v>
      </c>
    </row>
    <row r="79" spans="2:6" ht="33.950000000000003" customHeight="1">
      <c r="B79" s="3"/>
      <c r="C79" s="3" t="s">
        <v>181</v>
      </c>
      <c r="D79" s="4" t="s">
        <v>182</v>
      </c>
      <c r="E79" s="9">
        <v>5</v>
      </c>
      <c r="F79" s="4" t="s">
        <v>183</v>
      </c>
    </row>
    <row r="80" spans="2:6" ht="48.95" customHeight="1">
      <c r="B80" s="3"/>
      <c r="C80" s="3" t="s">
        <v>184</v>
      </c>
      <c r="D80" s="4" t="s">
        <v>185</v>
      </c>
      <c r="E80" s="9">
        <v>8</v>
      </c>
      <c r="F80" s="4" t="s">
        <v>186</v>
      </c>
    </row>
    <row r="81" spans="2:6" ht="30" customHeight="1">
      <c r="B81" s="2"/>
      <c r="C81" s="2"/>
      <c r="D81" s="2"/>
      <c r="E81" s="10"/>
      <c r="F81" s="2"/>
    </row>
    <row r="82" spans="2:6" ht="30" customHeight="1">
      <c r="B82" s="6" t="s">
        <v>16</v>
      </c>
      <c r="C82" s="6" t="s">
        <v>187</v>
      </c>
      <c r="D82" s="7" t="s">
        <v>20</v>
      </c>
      <c r="E82" s="8">
        <f>SUM(E83:E87)</f>
        <v>16</v>
      </c>
      <c r="F82" s="7" t="s">
        <v>104</v>
      </c>
    </row>
    <row r="83" spans="2:6" ht="33.950000000000003" customHeight="1">
      <c r="B83" s="3"/>
      <c r="C83" s="3" t="s">
        <v>188</v>
      </c>
      <c r="D83" s="4" t="s">
        <v>189</v>
      </c>
      <c r="E83" s="9">
        <v>3</v>
      </c>
      <c r="F83" s="4" t="s">
        <v>190</v>
      </c>
    </row>
    <row r="84" spans="2:6" ht="48.95" customHeight="1">
      <c r="B84" s="3"/>
      <c r="C84" s="3" t="s">
        <v>191</v>
      </c>
      <c r="D84" s="4" t="s">
        <v>192</v>
      </c>
      <c r="E84" s="9">
        <v>4</v>
      </c>
      <c r="F84" s="4" t="s">
        <v>193</v>
      </c>
    </row>
    <row r="85" spans="2:6" ht="33.950000000000003" customHeight="1">
      <c r="B85" s="3"/>
      <c r="C85" s="3" t="s">
        <v>194</v>
      </c>
      <c r="D85" s="4" t="s">
        <v>195</v>
      </c>
      <c r="E85" s="9">
        <v>3</v>
      </c>
      <c r="F85" s="4" t="s">
        <v>196</v>
      </c>
    </row>
    <row r="86" spans="2:6" ht="48.95" customHeight="1">
      <c r="B86" s="3"/>
      <c r="C86" s="3" t="s">
        <v>197</v>
      </c>
      <c r="D86" s="4" t="s">
        <v>198</v>
      </c>
      <c r="E86" s="9">
        <v>4</v>
      </c>
      <c r="F86" s="4" t="s">
        <v>199</v>
      </c>
    </row>
    <row r="87" spans="2:6" ht="33.950000000000003" customHeight="1">
      <c r="B87" s="3"/>
      <c r="C87" s="3" t="s">
        <v>200</v>
      </c>
      <c r="D87" s="4" t="s">
        <v>201</v>
      </c>
      <c r="E87" s="9">
        <v>2</v>
      </c>
      <c r="F87" s="4" t="s">
        <v>202</v>
      </c>
    </row>
    <row r="88" spans="2:6" ht="30" customHeight="1">
      <c r="B88" s="2"/>
      <c r="C88" s="2"/>
      <c r="D88" s="2"/>
      <c r="E88" s="10"/>
      <c r="F88" s="2"/>
    </row>
    <row r="89" spans="2:6" ht="30" customHeight="1">
      <c r="B89" s="6" t="s">
        <v>16</v>
      </c>
      <c r="C89" s="6" t="s">
        <v>203</v>
      </c>
      <c r="D89" s="7" t="s">
        <v>22</v>
      </c>
      <c r="E89" s="8">
        <f>SUM(E90:E96)</f>
        <v>26</v>
      </c>
      <c r="F89" s="7" t="s">
        <v>104</v>
      </c>
    </row>
    <row r="90" spans="2:6" ht="33.950000000000003" customHeight="1">
      <c r="B90" s="3"/>
      <c r="C90" s="3" t="s">
        <v>204</v>
      </c>
      <c r="D90" s="4" t="s">
        <v>205</v>
      </c>
      <c r="E90" s="9">
        <v>5</v>
      </c>
      <c r="F90" s="4" t="s">
        <v>206</v>
      </c>
    </row>
    <row r="91" spans="2:6" ht="48.95" customHeight="1">
      <c r="B91" s="3"/>
      <c r="C91" s="3" t="s">
        <v>207</v>
      </c>
      <c r="D91" s="4" t="s">
        <v>208</v>
      </c>
      <c r="E91" s="9">
        <v>6</v>
      </c>
      <c r="F91" s="4" t="s">
        <v>209</v>
      </c>
    </row>
    <row r="92" spans="2:6" ht="33.950000000000003" customHeight="1">
      <c r="B92" s="3"/>
      <c r="C92" s="3" t="s">
        <v>210</v>
      </c>
      <c r="D92" s="4" t="s">
        <v>211</v>
      </c>
      <c r="E92" s="9">
        <v>3</v>
      </c>
      <c r="F92" s="4" t="s">
        <v>212</v>
      </c>
    </row>
    <row r="93" spans="2:6" ht="33.950000000000003" customHeight="1">
      <c r="B93" s="3"/>
      <c r="C93" s="3" t="s">
        <v>213</v>
      </c>
      <c r="D93" s="4" t="s">
        <v>214</v>
      </c>
      <c r="E93" s="9">
        <v>3</v>
      </c>
      <c r="F93" s="4" t="s">
        <v>215</v>
      </c>
    </row>
    <row r="94" spans="2:6" ht="33.950000000000003" customHeight="1">
      <c r="B94" s="3"/>
      <c r="C94" s="3" t="s">
        <v>216</v>
      </c>
      <c r="D94" s="4" t="s">
        <v>217</v>
      </c>
      <c r="E94" s="9">
        <v>3</v>
      </c>
      <c r="F94" s="4" t="s">
        <v>218</v>
      </c>
    </row>
    <row r="95" spans="2:6" ht="33.950000000000003" customHeight="1">
      <c r="B95" s="3"/>
      <c r="C95" s="3" t="s">
        <v>219</v>
      </c>
      <c r="D95" s="4" t="s">
        <v>220</v>
      </c>
      <c r="E95" s="9">
        <v>3</v>
      </c>
      <c r="F95" s="4" t="s">
        <v>221</v>
      </c>
    </row>
    <row r="96" spans="2:6" ht="33.950000000000003" customHeight="1">
      <c r="B96" s="3"/>
      <c r="C96" s="3" t="s">
        <v>222</v>
      </c>
      <c r="D96" s="4" t="s">
        <v>223</v>
      </c>
      <c r="E96" s="9">
        <v>3</v>
      </c>
      <c r="F96" s="4" t="s">
        <v>224</v>
      </c>
    </row>
    <row r="97" spans="2:6" ht="30" customHeight="1">
      <c r="B97" s="2"/>
      <c r="C97" s="2"/>
      <c r="D97" s="2"/>
      <c r="E97" s="10"/>
      <c r="F97" s="2"/>
    </row>
    <row r="98" spans="2:6" ht="30" customHeight="1">
      <c r="B98" s="40" t="s">
        <v>225</v>
      </c>
      <c r="C98" s="38"/>
      <c r="D98" s="38"/>
      <c r="E98" s="38"/>
      <c r="F98" s="38"/>
    </row>
    <row r="99" spans="2:6" ht="30" customHeight="1">
      <c r="B99" s="6" t="s">
        <v>23</v>
      </c>
      <c r="C99" s="6" t="s">
        <v>226</v>
      </c>
      <c r="D99" s="7" t="s">
        <v>25</v>
      </c>
      <c r="E99" s="8">
        <f>SUM(E100:E108)</f>
        <v>48</v>
      </c>
      <c r="F99" s="7" t="s">
        <v>104</v>
      </c>
    </row>
    <row r="100" spans="2:6" ht="48.95" customHeight="1">
      <c r="B100" s="3"/>
      <c r="C100" s="3" t="s">
        <v>227</v>
      </c>
      <c r="D100" s="4" t="s">
        <v>228</v>
      </c>
      <c r="E100" s="9">
        <v>4</v>
      </c>
      <c r="F100" s="4" t="s">
        <v>229</v>
      </c>
    </row>
    <row r="101" spans="2:6" ht="48.95" customHeight="1">
      <c r="B101" s="3"/>
      <c r="C101" s="3" t="s">
        <v>230</v>
      </c>
      <c r="D101" s="4" t="s">
        <v>231</v>
      </c>
      <c r="E101" s="9">
        <v>7</v>
      </c>
      <c r="F101" s="4" t="s">
        <v>232</v>
      </c>
    </row>
    <row r="102" spans="2:6" ht="48.95" customHeight="1">
      <c r="B102" s="3"/>
      <c r="C102" s="3" t="s">
        <v>233</v>
      </c>
      <c r="D102" s="4" t="s">
        <v>234</v>
      </c>
      <c r="E102" s="9">
        <v>7</v>
      </c>
      <c r="F102" s="4" t="s">
        <v>235</v>
      </c>
    </row>
    <row r="103" spans="2:6" ht="48.95" customHeight="1">
      <c r="B103" s="3"/>
      <c r="C103" s="3" t="s">
        <v>236</v>
      </c>
      <c r="D103" s="4" t="s">
        <v>237</v>
      </c>
      <c r="E103" s="9">
        <v>6</v>
      </c>
      <c r="F103" s="4" t="s">
        <v>238</v>
      </c>
    </row>
    <row r="104" spans="2:6" ht="63.95" customHeight="1">
      <c r="B104" s="3"/>
      <c r="C104" s="3" t="s">
        <v>239</v>
      </c>
      <c r="D104" s="4" t="s">
        <v>240</v>
      </c>
      <c r="E104" s="9">
        <v>6</v>
      </c>
      <c r="F104" s="4" t="s">
        <v>241</v>
      </c>
    </row>
    <row r="105" spans="2:6" ht="48.95" customHeight="1">
      <c r="B105" s="3"/>
      <c r="C105" s="3" t="s">
        <v>242</v>
      </c>
      <c r="D105" s="4" t="s">
        <v>243</v>
      </c>
      <c r="E105" s="9">
        <v>4</v>
      </c>
      <c r="F105" s="4" t="s">
        <v>244</v>
      </c>
    </row>
    <row r="106" spans="2:6" ht="48.95" customHeight="1">
      <c r="B106" s="3"/>
      <c r="C106" s="3" t="s">
        <v>245</v>
      </c>
      <c r="D106" s="4" t="s">
        <v>246</v>
      </c>
      <c r="E106" s="9">
        <v>4</v>
      </c>
      <c r="F106" s="4" t="s">
        <v>247</v>
      </c>
    </row>
    <row r="107" spans="2:6" ht="48.95" customHeight="1">
      <c r="B107" s="3"/>
      <c r="C107" s="3" t="s">
        <v>248</v>
      </c>
      <c r="D107" s="4" t="s">
        <v>249</v>
      </c>
      <c r="E107" s="9">
        <v>4</v>
      </c>
      <c r="F107" s="4" t="s">
        <v>250</v>
      </c>
    </row>
    <row r="108" spans="2:6" ht="48.95" customHeight="1">
      <c r="B108" s="3"/>
      <c r="C108" s="3" t="s">
        <v>251</v>
      </c>
      <c r="D108" s="4" t="s">
        <v>252</v>
      </c>
      <c r="E108" s="9">
        <v>6</v>
      </c>
      <c r="F108" s="4" t="s">
        <v>253</v>
      </c>
    </row>
    <row r="109" spans="2:6" ht="30" customHeight="1">
      <c r="B109" s="2"/>
      <c r="C109" s="2"/>
      <c r="D109" s="2"/>
      <c r="E109" s="10"/>
      <c r="F109" s="2"/>
    </row>
    <row r="110" spans="2:6" ht="30" customHeight="1">
      <c r="B110" s="6" t="s">
        <v>23</v>
      </c>
      <c r="C110" s="6" t="s">
        <v>254</v>
      </c>
      <c r="D110" s="7" t="s">
        <v>27</v>
      </c>
      <c r="E110" s="8">
        <f>SUM(E111:E119)</f>
        <v>46</v>
      </c>
      <c r="F110" s="7" t="s">
        <v>104</v>
      </c>
    </row>
    <row r="111" spans="2:6" ht="48.95" customHeight="1">
      <c r="B111" s="3"/>
      <c r="C111" s="3" t="s">
        <v>255</v>
      </c>
      <c r="D111" s="4" t="s">
        <v>256</v>
      </c>
      <c r="E111" s="9">
        <v>6</v>
      </c>
      <c r="F111" s="4" t="s">
        <v>257</v>
      </c>
    </row>
    <row r="112" spans="2:6" ht="33.950000000000003" customHeight="1">
      <c r="B112" s="3"/>
      <c r="C112" s="3" t="s">
        <v>258</v>
      </c>
      <c r="D112" s="4" t="s">
        <v>259</v>
      </c>
      <c r="E112" s="9">
        <v>6</v>
      </c>
      <c r="F112" s="4" t="s">
        <v>260</v>
      </c>
    </row>
    <row r="113" spans="2:6" ht="33.950000000000003" customHeight="1">
      <c r="B113" s="3"/>
      <c r="C113" s="3" t="s">
        <v>261</v>
      </c>
      <c r="D113" s="4" t="s">
        <v>262</v>
      </c>
      <c r="E113" s="9">
        <v>5</v>
      </c>
      <c r="F113" s="4" t="s">
        <v>263</v>
      </c>
    </row>
    <row r="114" spans="2:6" ht="33.950000000000003" customHeight="1">
      <c r="B114" s="3"/>
      <c r="C114" s="3" t="s">
        <v>264</v>
      </c>
      <c r="D114" s="4" t="s">
        <v>265</v>
      </c>
      <c r="E114" s="9">
        <v>5</v>
      </c>
      <c r="F114" s="4" t="s">
        <v>266</v>
      </c>
    </row>
    <row r="115" spans="2:6" ht="48.95" customHeight="1">
      <c r="B115" s="3"/>
      <c r="C115" s="3" t="s">
        <v>267</v>
      </c>
      <c r="D115" s="4" t="s">
        <v>268</v>
      </c>
      <c r="E115" s="9">
        <v>7</v>
      </c>
      <c r="F115" s="4" t="s">
        <v>269</v>
      </c>
    </row>
    <row r="116" spans="2:6" ht="48.95" customHeight="1">
      <c r="B116" s="3"/>
      <c r="C116" s="3" t="s">
        <v>270</v>
      </c>
      <c r="D116" s="4" t="s">
        <v>271</v>
      </c>
      <c r="E116" s="9">
        <v>6</v>
      </c>
      <c r="F116" s="4" t="s">
        <v>272</v>
      </c>
    </row>
    <row r="117" spans="2:6" ht="33.950000000000003" customHeight="1">
      <c r="B117" s="3"/>
      <c r="C117" s="3" t="s">
        <v>273</v>
      </c>
      <c r="D117" s="4" t="s">
        <v>274</v>
      </c>
      <c r="E117" s="9">
        <v>3</v>
      </c>
      <c r="F117" s="4" t="s">
        <v>275</v>
      </c>
    </row>
    <row r="118" spans="2:6" ht="33.950000000000003" customHeight="1">
      <c r="B118" s="3"/>
      <c r="C118" s="3" t="s">
        <v>276</v>
      </c>
      <c r="D118" s="4" t="s">
        <v>277</v>
      </c>
      <c r="E118" s="9">
        <v>4</v>
      </c>
      <c r="F118" s="4" t="s">
        <v>278</v>
      </c>
    </row>
    <row r="119" spans="2:6" ht="33.950000000000003" customHeight="1">
      <c r="B119" s="3"/>
      <c r="C119" s="3" t="s">
        <v>279</v>
      </c>
      <c r="D119" s="4" t="s">
        <v>280</v>
      </c>
      <c r="E119" s="9">
        <v>4</v>
      </c>
      <c r="F119" s="4" t="s">
        <v>281</v>
      </c>
    </row>
    <row r="120" spans="2:6" ht="30" customHeight="1">
      <c r="B120" s="2"/>
      <c r="C120" s="2"/>
      <c r="D120" s="2"/>
      <c r="E120" s="10"/>
      <c r="F120" s="2"/>
    </row>
    <row r="121" spans="2:6" ht="30" customHeight="1">
      <c r="B121" s="6" t="s">
        <v>23</v>
      </c>
      <c r="C121" s="6" t="s">
        <v>282</v>
      </c>
      <c r="D121" s="7" t="s">
        <v>29</v>
      </c>
      <c r="E121" s="8">
        <f>SUM(E122:E130)</f>
        <v>48</v>
      </c>
      <c r="F121" s="7" t="s">
        <v>104</v>
      </c>
    </row>
    <row r="122" spans="2:6" ht="33.950000000000003" customHeight="1">
      <c r="B122" s="3"/>
      <c r="C122" s="3" t="s">
        <v>283</v>
      </c>
      <c r="D122" s="4" t="s">
        <v>284</v>
      </c>
      <c r="E122" s="9">
        <v>6</v>
      </c>
      <c r="F122" s="4" t="s">
        <v>285</v>
      </c>
    </row>
    <row r="123" spans="2:6" ht="48.95" customHeight="1">
      <c r="B123" s="3"/>
      <c r="C123" s="3" t="s">
        <v>286</v>
      </c>
      <c r="D123" s="4" t="s">
        <v>287</v>
      </c>
      <c r="E123" s="9">
        <v>4</v>
      </c>
      <c r="F123" s="4" t="s">
        <v>288</v>
      </c>
    </row>
    <row r="124" spans="2:6" ht="48.95" customHeight="1">
      <c r="B124" s="3"/>
      <c r="C124" s="3" t="s">
        <v>289</v>
      </c>
      <c r="D124" s="4" t="s">
        <v>290</v>
      </c>
      <c r="E124" s="9">
        <v>9</v>
      </c>
      <c r="F124" s="4" t="s">
        <v>291</v>
      </c>
    </row>
    <row r="125" spans="2:6" ht="48.95" customHeight="1">
      <c r="B125" s="3"/>
      <c r="C125" s="3" t="s">
        <v>292</v>
      </c>
      <c r="D125" s="4" t="s">
        <v>293</v>
      </c>
      <c r="E125" s="9">
        <v>4</v>
      </c>
      <c r="F125" s="4" t="s">
        <v>294</v>
      </c>
    </row>
    <row r="126" spans="2:6" ht="48.95" customHeight="1">
      <c r="B126" s="3"/>
      <c r="C126" s="3" t="s">
        <v>295</v>
      </c>
      <c r="D126" s="4" t="s">
        <v>296</v>
      </c>
      <c r="E126" s="9">
        <v>5</v>
      </c>
      <c r="F126" s="4" t="s">
        <v>297</v>
      </c>
    </row>
    <row r="127" spans="2:6" ht="48.95" customHeight="1">
      <c r="B127" s="3"/>
      <c r="C127" s="3" t="s">
        <v>298</v>
      </c>
      <c r="D127" s="4" t="s">
        <v>299</v>
      </c>
      <c r="E127" s="9">
        <v>5</v>
      </c>
      <c r="F127" s="4" t="s">
        <v>300</v>
      </c>
    </row>
    <row r="128" spans="2:6" ht="48.95" customHeight="1">
      <c r="B128" s="3"/>
      <c r="C128" s="3" t="s">
        <v>301</v>
      </c>
      <c r="D128" s="4" t="s">
        <v>302</v>
      </c>
      <c r="E128" s="9">
        <v>7</v>
      </c>
      <c r="F128" s="4" t="s">
        <v>303</v>
      </c>
    </row>
    <row r="129" spans="2:6" ht="33.950000000000003" customHeight="1">
      <c r="B129" s="3"/>
      <c r="C129" s="3" t="s">
        <v>304</v>
      </c>
      <c r="D129" s="4" t="s">
        <v>305</v>
      </c>
      <c r="E129" s="9">
        <v>3</v>
      </c>
      <c r="F129" s="4" t="s">
        <v>306</v>
      </c>
    </row>
    <row r="130" spans="2:6" ht="33.950000000000003" customHeight="1">
      <c r="B130" s="3"/>
      <c r="C130" s="3" t="s">
        <v>307</v>
      </c>
      <c r="D130" s="4" t="s">
        <v>308</v>
      </c>
      <c r="E130" s="9">
        <v>5</v>
      </c>
      <c r="F130" s="4" t="s">
        <v>309</v>
      </c>
    </row>
    <row r="131" spans="2:6" ht="30" customHeight="1">
      <c r="B131" s="2"/>
      <c r="C131" s="2"/>
      <c r="D131" s="2"/>
      <c r="E131" s="10"/>
      <c r="F131" s="2"/>
    </row>
    <row r="132" spans="2:6" ht="30" customHeight="1">
      <c r="B132" s="6" t="s">
        <v>23</v>
      </c>
      <c r="C132" s="6" t="s">
        <v>310</v>
      </c>
      <c r="D132" s="7" t="s">
        <v>31</v>
      </c>
      <c r="E132" s="8">
        <f>SUM(E133:E139)</f>
        <v>46</v>
      </c>
      <c r="F132" s="7" t="s">
        <v>104</v>
      </c>
    </row>
    <row r="133" spans="2:6" ht="48.95" customHeight="1">
      <c r="B133" s="3"/>
      <c r="C133" s="3" t="s">
        <v>311</v>
      </c>
      <c r="D133" s="4" t="s">
        <v>312</v>
      </c>
      <c r="E133" s="9">
        <v>7</v>
      </c>
      <c r="F133" s="4" t="s">
        <v>313</v>
      </c>
    </row>
    <row r="134" spans="2:6" ht="48.95" customHeight="1">
      <c r="B134" s="3"/>
      <c r="C134" s="3" t="s">
        <v>314</v>
      </c>
      <c r="D134" s="4" t="s">
        <v>315</v>
      </c>
      <c r="E134" s="9">
        <v>7</v>
      </c>
      <c r="F134" s="4" t="s">
        <v>316</v>
      </c>
    </row>
    <row r="135" spans="2:6" ht="48.95" customHeight="1">
      <c r="B135" s="3"/>
      <c r="C135" s="3" t="s">
        <v>317</v>
      </c>
      <c r="D135" s="4" t="s">
        <v>318</v>
      </c>
      <c r="E135" s="9">
        <v>9</v>
      </c>
      <c r="F135" s="4" t="s">
        <v>319</v>
      </c>
    </row>
    <row r="136" spans="2:6" ht="48.95" customHeight="1">
      <c r="B136" s="3"/>
      <c r="C136" s="3" t="s">
        <v>320</v>
      </c>
      <c r="D136" s="4" t="s">
        <v>321</v>
      </c>
      <c r="E136" s="9">
        <v>6</v>
      </c>
      <c r="F136" s="4" t="s">
        <v>322</v>
      </c>
    </row>
    <row r="137" spans="2:6" ht="33.950000000000003" customHeight="1">
      <c r="B137" s="3"/>
      <c r="C137" s="3" t="s">
        <v>323</v>
      </c>
      <c r="D137" s="4" t="s">
        <v>324</v>
      </c>
      <c r="E137" s="9">
        <v>5</v>
      </c>
      <c r="F137" s="4" t="s">
        <v>325</v>
      </c>
    </row>
    <row r="138" spans="2:6" ht="48.95" customHeight="1">
      <c r="B138" s="3"/>
      <c r="C138" s="3" t="s">
        <v>326</v>
      </c>
      <c r="D138" s="4" t="s">
        <v>327</v>
      </c>
      <c r="E138" s="9">
        <v>4</v>
      </c>
      <c r="F138" s="4" t="s">
        <v>328</v>
      </c>
    </row>
    <row r="139" spans="2:6" ht="48.95" customHeight="1">
      <c r="B139" s="3"/>
      <c r="C139" s="3" t="s">
        <v>329</v>
      </c>
      <c r="D139" s="4" t="s">
        <v>330</v>
      </c>
      <c r="E139" s="9">
        <v>8</v>
      </c>
      <c r="F139" s="4" t="s">
        <v>331</v>
      </c>
    </row>
    <row r="140" spans="2:6" ht="30" customHeight="1">
      <c r="B140" s="2"/>
      <c r="C140" s="2"/>
      <c r="D140" s="2"/>
      <c r="E140" s="10"/>
      <c r="F140" s="2"/>
    </row>
    <row r="141" spans="2:6" ht="30" customHeight="1">
      <c r="B141" s="40" t="s">
        <v>332</v>
      </c>
      <c r="C141" s="38"/>
      <c r="D141" s="38"/>
      <c r="E141" s="38"/>
      <c r="F141" s="38"/>
    </row>
    <row r="142" spans="2:6" ht="30" customHeight="1">
      <c r="B142" s="6" t="s">
        <v>32</v>
      </c>
      <c r="C142" s="6" t="s">
        <v>333</v>
      </c>
      <c r="D142" s="7" t="s">
        <v>34</v>
      </c>
      <c r="E142" s="8">
        <f>SUM(E143:E150)</f>
        <v>38</v>
      </c>
      <c r="F142" s="7" t="s">
        <v>104</v>
      </c>
    </row>
    <row r="143" spans="2:6" ht="48.95" customHeight="1">
      <c r="B143" s="3"/>
      <c r="C143" s="3" t="s">
        <v>334</v>
      </c>
      <c r="D143" s="4" t="s">
        <v>335</v>
      </c>
      <c r="E143" s="9">
        <v>4</v>
      </c>
      <c r="F143" s="4" t="s">
        <v>336</v>
      </c>
    </row>
    <row r="144" spans="2:6" ht="33.950000000000003" customHeight="1">
      <c r="B144" s="3"/>
      <c r="C144" s="3" t="s">
        <v>337</v>
      </c>
      <c r="D144" s="4" t="s">
        <v>338</v>
      </c>
      <c r="E144" s="9">
        <v>5</v>
      </c>
      <c r="F144" s="4" t="s">
        <v>339</v>
      </c>
    </row>
    <row r="145" spans="2:6" ht="48.95" customHeight="1">
      <c r="B145" s="3"/>
      <c r="C145" s="3" t="s">
        <v>340</v>
      </c>
      <c r="D145" s="4" t="s">
        <v>341</v>
      </c>
      <c r="E145" s="9">
        <v>5</v>
      </c>
      <c r="F145" s="4" t="s">
        <v>342</v>
      </c>
    </row>
    <row r="146" spans="2:6" ht="48.95" customHeight="1">
      <c r="B146" s="3"/>
      <c r="C146" s="3" t="s">
        <v>343</v>
      </c>
      <c r="D146" s="4" t="s">
        <v>344</v>
      </c>
      <c r="E146" s="9">
        <v>6</v>
      </c>
      <c r="F146" s="4" t="s">
        <v>345</v>
      </c>
    </row>
    <row r="147" spans="2:6" ht="48.95" customHeight="1">
      <c r="B147" s="3"/>
      <c r="C147" s="3" t="s">
        <v>346</v>
      </c>
      <c r="D147" s="4" t="s">
        <v>347</v>
      </c>
      <c r="E147" s="9">
        <v>5</v>
      </c>
      <c r="F147" s="4" t="s">
        <v>348</v>
      </c>
    </row>
    <row r="148" spans="2:6" ht="48.95" customHeight="1">
      <c r="B148" s="3"/>
      <c r="C148" s="3" t="s">
        <v>349</v>
      </c>
      <c r="D148" s="4" t="s">
        <v>350</v>
      </c>
      <c r="E148" s="9">
        <v>4</v>
      </c>
      <c r="F148" s="4" t="s">
        <v>351</v>
      </c>
    </row>
    <row r="149" spans="2:6" ht="48.95" customHeight="1">
      <c r="B149" s="3"/>
      <c r="C149" s="3" t="s">
        <v>352</v>
      </c>
      <c r="D149" s="4" t="s">
        <v>353</v>
      </c>
      <c r="E149" s="9">
        <v>4</v>
      </c>
      <c r="F149" s="4" t="s">
        <v>354</v>
      </c>
    </row>
    <row r="150" spans="2:6" ht="33.950000000000003" customHeight="1">
      <c r="B150" s="3"/>
      <c r="C150" s="3" t="s">
        <v>355</v>
      </c>
      <c r="D150" s="4" t="s">
        <v>356</v>
      </c>
      <c r="E150" s="9">
        <v>5</v>
      </c>
      <c r="F150" s="4" t="s">
        <v>357</v>
      </c>
    </row>
    <row r="151" spans="2:6" ht="30" customHeight="1">
      <c r="B151" s="2"/>
      <c r="C151" s="2"/>
      <c r="D151" s="2"/>
      <c r="E151" s="10"/>
      <c r="F151" s="2"/>
    </row>
    <row r="152" spans="2:6" ht="30" customHeight="1">
      <c r="B152" s="6" t="s">
        <v>32</v>
      </c>
      <c r="C152" s="6" t="s">
        <v>358</v>
      </c>
      <c r="D152" s="7" t="s">
        <v>36</v>
      </c>
      <c r="E152" s="8">
        <f>SUM(E153:E161)</f>
        <v>42</v>
      </c>
      <c r="F152" s="7" t="s">
        <v>104</v>
      </c>
    </row>
    <row r="153" spans="2:6" ht="48.95" customHeight="1">
      <c r="B153" s="3"/>
      <c r="C153" s="3" t="s">
        <v>359</v>
      </c>
      <c r="D153" s="4" t="s">
        <v>360</v>
      </c>
      <c r="E153" s="9">
        <v>6</v>
      </c>
      <c r="F153" s="4" t="s">
        <v>361</v>
      </c>
    </row>
    <row r="154" spans="2:6" ht="48.95" customHeight="1">
      <c r="B154" s="3"/>
      <c r="C154" s="3" t="s">
        <v>362</v>
      </c>
      <c r="D154" s="4" t="s">
        <v>363</v>
      </c>
      <c r="E154" s="9">
        <v>4</v>
      </c>
      <c r="F154" s="4" t="s">
        <v>364</v>
      </c>
    </row>
    <row r="155" spans="2:6" ht="48.95" customHeight="1">
      <c r="B155" s="3"/>
      <c r="C155" s="3" t="s">
        <v>365</v>
      </c>
      <c r="D155" s="4" t="s">
        <v>366</v>
      </c>
      <c r="E155" s="9">
        <v>6</v>
      </c>
      <c r="F155" s="4" t="s">
        <v>367</v>
      </c>
    </row>
    <row r="156" spans="2:6" ht="48.95" customHeight="1">
      <c r="B156" s="3"/>
      <c r="C156" s="3" t="s">
        <v>368</v>
      </c>
      <c r="D156" s="4" t="s">
        <v>369</v>
      </c>
      <c r="E156" s="9">
        <v>6</v>
      </c>
      <c r="F156" s="4" t="s">
        <v>370</v>
      </c>
    </row>
    <row r="157" spans="2:6" ht="48.95" customHeight="1">
      <c r="B157" s="3"/>
      <c r="C157" s="3" t="s">
        <v>371</v>
      </c>
      <c r="D157" s="4" t="s">
        <v>372</v>
      </c>
      <c r="E157" s="9">
        <v>5</v>
      </c>
      <c r="F157" s="4" t="s">
        <v>373</v>
      </c>
    </row>
    <row r="158" spans="2:6" ht="33.950000000000003" customHeight="1">
      <c r="B158" s="3"/>
      <c r="C158" s="3" t="s">
        <v>374</v>
      </c>
      <c r="D158" s="4" t="s">
        <v>375</v>
      </c>
      <c r="E158" s="9">
        <v>3</v>
      </c>
      <c r="F158" s="4" t="s">
        <v>376</v>
      </c>
    </row>
    <row r="159" spans="2:6" ht="48.95" customHeight="1">
      <c r="B159" s="3"/>
      <c r="C159" s="3" t="s">
        <v>377</v>
      </c>
      <c r="D159" s="4" t="s">
        <v>378</v>
      </c>
      <c r="E159" s="9">
        <v>3</v>
      </c>
      <c r="F159" s="4" t="s">
        <v>379</v>
      </c>
    </row>
    <row r="160" spans="2:6" ht="48.95" customHeight="1">
      <c r="B160" s="3"/>
      <c r="C160" s="3" t="s">
        <v>380</v>
      </c>
      <c r="D160" s="4" t="s">
        <v>381</v>
      </c>
      <c r="E160" s="9">
        <v>4</v>
      </c>
      <c r="F160" s="4" t="s">
        <v>382</v>
      </c>
    </row>
    <row r="161" spans="2:6" ht="33.950000000000003" customHeight="1">
      <c r="B161" s="3"/>
      <c r="C161" s="3" t="s">
        <v>383</v>
      </c>
      <c r="D161" s="4" t="s">
        <v>384</v>
      </c>
      <c r="E161" s="9">
        <v>5</v>
      </c>
      <c r="F161" s="4" t="s">
        <v>385</v>
      </c>
    </row>
    <row r="162" spans="2:6" ht="30" customHeight="1">
      <c r="B162" s="2"/>
      <c r="C162" s="2"/>
      <c r="D162" s="2"/>
      <c r="E162" s="10"/>
      <c r="F162" s="2"/>
    </row>
    <row r="163" spans="2:6" ht="30" customHeight="1">
      <c r="B163" s="6" t="s">
        <v>32</v>
      </c>
      <c r="C163" s="6" t="s">
        <v>386</v>
      </c>
      <c r="D163" s="7" t="s">
        <v>38</v>
      </c>
      <c r="E163" s="8">
        <f>SUM(E164:E173)</f>
        <v>74</v>
      </c>
      <c r="F163" s="7" t="s">
        <v>104</v>
      </c>
    </row>
    <row r="164" spans="2:6" ht="33.950000000000003" customHeight="1">
      <c r="B164" s="3"/>
      <c r="C164" s="3" t="s">
        <v>387</v>
      </c>
      <c r="D164" s="4" t="s">
        <v>388</v>
      </c>
      <c r="E164" s="9">
        <v>7</v>
      </c>
      <c r="F164" s="4" t="s">
        <v>389</v>
      </c>
    </row>
    <row r="165" spans="2:6" ht="48.95" customHeight="1">
      <c r="B165" s="3"/>
      <c r="C165" s="3" t="s">
        <v>390</v>
      </c>
      <c r="D165" s="4" t="s">
        <v>391</v>
      </c>
      <c r="E165" s="9">
        <v>6</v>
      </c>
      <c r="F165" s="4" t="s">
        <v>392</v>
      </c>
    </row>
    <row r="166" spans="2:6" ht="48.95" customHeight="1">
      <c r="B166" s="3"/>
      <c r="C166" s="3" t="s">
        <v>393</v>
      </c>
      <c r="D166" s="4" t="s">
        <v>394</v>
      </c>
      <c r="E166" s="9">
        <v>8</v>
      </c>
      <c r="F166" s="4" t="s">
        <v>395</v>
      </c>
    </row>
    <row r="167" spans="2:6" ht="48.95" customHeight="1">
      <c r="B167" s="3"/>
      <c r="C167" s="3" t="s">
        <v>396</v>
      </c>
      <c r="D167" s="4" t="s">
        <v>397</v>
      </c>
      <c r="E167" s="9">
        <v>10</v>
      </c>
      <c r="F167" s="4" t="s">
        <v>398</v>
      </c>
    </row>
    <row r="168" spans="2:6" ht="48.95" customHeight="1">
      <c r="B168" s="3"/>
      <c r="C168" s="3" t="s">
        <v>399</v>
      </c>
      <c r="D168" s="4" t="s">
        <v>400</v>
      </c>
      <c r="E168" s="9">
        <v>7</v>
      </c>
      <c r="F168" s="4" t="s">
        <v>401</v>
      </c>
    </row>
    <row r="169" spans="2:6" ht="33.950000000000003" customHeight="1">
      <c r="B169" s="3"/>
      <c r="C169" s="3" t="s">
        <v>402</v>
      </c>
      <c r="D169" s="4" t="s">
        <v>403</v>
      </c>
      <c r="E169" s="9">
        <v>5</v>
      </c>
      <c r="F169" s="4" t="s">
        <v>404</v>
      </c>
    </row>
    <row r="170" spans="2:6" ht="33.950000000000003" customHeight="1">
      <c r="B170" s="3"/>
      <c r="C170" s="3" t="s">
        <v>405</v>
      </c>
      <c r="D170" s="4" t="s">
        <v>406</v>
      </c>
      <c r="E170" s="9">
        <v>7</v>
      </c>
      <c r="F170" s="4" t="s">
        <v>407</v>
      </c>
    </row>
    <row r="171" spans="2:6" ht="48.95" customHeight="1">
      <c r="B171" s="3"/>
      <c r="C171" s="3" t="s">
        <v>408</v>
      </c>
      <c r="D171" s="4" t="s">
        <v>409</v>
      </c>
      <c r="E171" s="9">
        <v>5</v>
      </c>
      <c r="F171" s="4" t="s">
        <v>410</v>
      </c>
    </row>
    <row r="172" spans="2:6" ht="48.95" customHeight="1">
      <c r="B172" s="3"/>
      <c r="C172" s="3" t="s">
        <v>411</v>
      </c>
      <c r="D172" s="4" t="s">
        <v>412</v>
      </c>
      <c r="E172" s="11">
        <v>7</v>
      </c>
      <c r="F172" s="4" t="s">
        <v>413</v>
      </c>
    </row>
    <row r="173" spans="2:6" ht="78.95" customHeight="1">
      <c r="B173" s="3"/>
      <c r="C173" s="3" t="s">
        <v>414</v>
      </c>
      <c r="D173" s="4" t="s">
        <v>415</v>
      </c>
      <c r="E173" s="11">
        <v>12</v>
      </c>
      <c r="F173" s="4" t="s">
        <v>416</v>
      </c>
    </row>
    <row r="174" spans="2:6" ht="30" customHeight="1">
      <c r="B174" s="40" t="s">
        <v>417</v>
      </c>
      <c r="C174" s="38"/>
      <c r="D174" s="38"/>
      <c r="E174" s="38"/>
      <c r="F174" s="38"/>
    </row>
    <row r="175" spans="2:6" ht="30" customHeight="1">
      <c r="B175" s="6" t="s">
        <v>39</v>
      </c>
      <c r="C175" s="6" t="s">
        <v>418</v>
      </c>
      <c r="D175" s="7" t="s">
        <v>41</v>
      </c>
      <c r="E175" s="8">
        <f>SUM(E176:E182)</f>
        <v>30</v>
      </c>
      <c r="F175" s="7" t="s">
        <v>104</v>
      </c>
    </row>
    <row r="176" spans="2:6" ht="48.95" customHeight="1">
      <c r="B176" s="3"/>
      <c r="C176" s="3" t="s">
        <v>419</v>
      </c>
      <c r="D176" s="4" t="s">
        <v>420</v>
      </c>
      <c r="E176" s="9">
        <v>5</v>
      </c>
      <c r="F176" s="4" t="s">
        <v>421</v>
      </c>
    </row>
    <row r="177" spans="2:6" ht="48.95" customHeight="1">
      <c r="B177" s="3"/>
      <c r="C177" s="3" t="s">
        <v>422</v>
      </c>
      <c r="D177" s="4" t="s">
        <v>423</v>
      </c>
      <c r="E177" s="9">
        <v>6</v>
      </c>
      <c r="F177" s="4" t="s">
        <v>424</v>
      </c>
    </row>
    <row r="178" spans="2:6" ht="48.95" customHeight="1">
      <c r="B178" s="3"/>
      <c r="C178" s="3" t="s">
        <v>425</v>
      </c>
      <c r="D178" s="4" t="s">
        <v>426</v>
      </c>
      <c r="E178" s="9">
        <v>6</v>
      </c>
      <c r="F178" s="4" t="s">
        <v>427</v>
      </c>
    </row>
    <row r="179" spans="2:6" ht="48.95" customHeight="1">
      <c r="B179" s="3"/>
      <c r="C179" s="3" t="s">
        <v>428</v>
      </c>
      <c r="D179" s="4" t="s">
        <v>429</v>
      </c>
      <c r="E179" s="9">
        <v>4</v>
      </c>
      <c r="F179" s="4" t="s">
        <v>430</v>
      </c>
    </row>
    <row r="180" spans="2:6" ht="33.950000000000003" customHeight="1">
      <c r="B180" s="3"/>
      <c r="C180" s="3" t="s">
        <v>431</v>
      </c>
      <c r="D180" s="4" t="s">
        <v>432</v>
      </c>
      <c r="E180" s="9">
        <v>2</v>
      </c>
      <c r="F180" s="4" t="s">
        <v>433</v>
      </c>
    </row>
    <row r="181" spans="2:6" ht="48.95" customHeight="1">
      <c r="B181" s="3"/>
      <c r="C181" s="3" t="s">
        <v>434</v>
      </c>
      <c r="D181" s="4" t="s">
        <v>435</v>
      </c>
      <c r="E181" s="9">
        <v>3</v>
      </c>
      <c r="F181" s="4" t="s">
        <v>436</v>
      </c>
    </row>
    <row r="182" spans="2:6" ht="33.950000000000003" customHeight="1">
      <c r="B182" s="3"/>
      <c r="C182" s="3" t="s">
        <v>437</v>
      </c>
      <c r="D182" s="4" t="s">
        <v>438</v>
      </c>
      <c r="E182" s="9">
        <v>4</v>
      </c>
      <c r="F182" s="4" t="s">
        <v>439</v>
      </c>
    </row>
    <row r="183" spans="2:6" ht="30" customHeight="1">
      <c r="B183" s="2"/>
      <c r="C183" s="2"/>
      <c r="D183" s="2"/>
      <c r="E183" s="10"/>
      <c r="F183" s="2"/>
    </row>
    <row r="184" spans="2:6" ht="30" customHeight="1">
      <c r="B184" s="6" t="s">
        <v>39</v>
      </c>
      <c r="C184" s="6" t="s">
        <v>440</v>
      </c>
      <c r="D184" s="7" t="s">
        <v>43</v>
      </c>
      <c r="E184" s="8">
        <f>SUM(E185:E191)</f>
        <v>22</v>
      </c>
      <c r="F184" s="7" t="s">
        <v>104</v>
      </c>
    </row>
    <row r="185" spans="2:6" ht="48.95" customHeight="1">
      <c r="B185" s="3"/>
      <c r="C185" s="3" t="s">
        <v>441</v>
      </c>
      <c r="D185" s="4" t="s">
        <v>442</v>
      </c>
      <c r="E185" s="9">
        <v>4</v>
      </c>
      <c r="F185" s="4" t="s">
        <v>443</v>
      </c>
    </row>
    <row r="186" spans="2:6" ht="33.950000000000003" customHeight="1">
      <c r="B186" s="3"/>
      <c r="C186" s="3" t="s">
        <v>444</v>
      </c>
      <c r="D186" s="4" t="s">
        <v>445</v>
      </c>
      <c r="E186" s="9">
        <v>3</v>
      </c>
      <c r="F186" s="4" t="s">
        <v>446</v>
      </c>
    </row>
    <row r="187" spans="2:6" ht="33.950000000000003" customHeight="1">
      <c r="B187" s="3"/>
      <c r="C187" s="3" t="s">
        <v>447</v>
      </c>
      <c r="D187" s="4" t="s">
        <v>448</v>
      </c>
      <c r="E187" s="9">
        <v>2</v>
      </c>
      <c r="F187" s="4" t="s">
        <v>449</v>
      </c>
    </row>
    <row r="188" spans="2:6" ht="33.950000000000003" customHeight="1">
      <c r="B188" s="3"/>
      <c r="C188" s="3" t="s">
        <v>450</v>
      </c>
      <c r="D188" s="4" t="s">
        <v>451</v>
      </c>
      <c r="E188" s="9">
        <v>2</v>
      </c>
      <c r="F188" s="4" t="s">
        <v>452</v>
      </c>
    </row>
    <row r="189" spans="2:6" ht="33.950000000000003" customHeight="1">
      <c r="B189" s="3"/>
      <c r="C189" s="3" t="s">
        <v>453</v>
      </c>
      <c r="D189" s="4" t="s">
        <v>454</v>
      </c>
      <c r="E189" s="9">
        <v>4</v>
      </c>
      <c r="F189" s="4" t="s">
        <v>455</v>
      </c>
    </row>
    <row r="190" spans="2:6" ht="48.95" customHeight="1">
      <c r="B190" s="3"/>
      <c r="C190" s="3" t="s">
        <v>456</v>
      </c>
      <c r="D190" s="4" t="s">
        <v>457</v>
      </c>
      <c r="E190" s="9">
        <v>3</v>
      </c>
      <c r="F190" s="4" t="s">
        <v>458</v>
      </c>
    </row>
    <row r="191" spans="2:6" ht="33.950000000000003" customHeight="1">
      <c r="B191" s="3"/>
      <c r="C191" s="3" t="s">
        <v>459</v>
      </c>
      <c r="D191" s="4" t="s">
        <v>460</v>
      </c>
      <c r="E191" s="9">
        <v>4</v>
      </c>
      <c r="F191" s="4" t="s">
        <v>461</v>
      </c>
    </row>
    <row r="192" spans="2:6" ht="30" customHeight="1">
      <c r="B192" s="2"/>
      <c r="C192" s="2"/>
      <c r="D192" s="2"/>
      <c r="E192" s="10"/>
      <c r="F192" s="2"/>
    </row>
    <row r="193" spans="2:6" ht="30" customHeight="1">
      <c r="B193" s="6" t="s">
        <v>39</v>
      </c>
      <c r="C193" s="6" t="s">
        <v>462</v>
      </c>
      <c r="D193" s="7" t="s">
        <v>45</v>
      </c>
      <c r="E193" s="8">
        <f>SUM(E194:E200)</f>
        <v>56</v>
      </c>
      <c r="F193" s="7" t="s">
        <v>104</v>
      </c>
    </row>
    <row r="194" spans="2:6" ht="48.95" customHeight="1">
      <c r="B194" s="3"/>
      <c r="C194" s="3" t="s">
        <v>463</v>
      </c>
      <c r="D194" s="4" t="s">
        <v>464</v>
      </c>
      <c r="E194" s="9">
        <v>8</v>
      </c>
      <c r="F194" s="4" t="s">
        <v>465</v>
      </c>
    </row>
    <row r="195" spans="2:6" ht="48.95" customHeight="1">
      <c r="B195" s="3"/>
      <c r="C195" s="3" t="s">
        <v>466</v>
      </c>
      <c r="D195" s="4" t="s">
        <v>467</v>
      </c>
      <c r="E195" s="9">
        <v>8</v>
      </c>
      <c r="F195" s="4" t="s">
        <v>468</v>
      </c>
    </row>
    <row r="196" spans="2:6" ht="48.95" customHeight="1">
      <c r="B196" s="3"/>
      <c r="C196" s="3" t="s">
        <v>469</v>
      </c>
      <c r="D196" s="4" t="s">
        <v>470</v>
      </c>
      <c r="E196" s="9">
        <v>7</v>
      </c>
      <c r="F196" s="4" t="s">
        <v>471</v>
      </c>
    </row>
    <row r="197" spans="2:6" ht="48.95" customHeight="1">
      <c r="B197" s="3"/>
      <c r="C197" s="3" t="s">
        <v>472</v>
      </c>
      <c r="D197" s="4" t="s">
        <v>473</v>
      </c>
      <c r="E197" s="9">
        <v>7</v>
      </c>
      <c r="F197" s="4" t="s">
        <v>474</v>
      </c>
    </row>
    <row r="198" spans="2:6" ht="33.950000000000003" customHeight="1">
      <c r="B198" s="3"/>
      <c r="C198" s="3" t="s">
        <v>475</v>
      </c>
      <c r="D198" s="4" t="s">
        <v>476</v>
      </c>
      <c r="E198" s="9">
        <v>5</v>
      </c>
      <c r="F198" s="4" t="s">
        <v>477</v>
      </c>
    </row>
    <row r="199" spans="2:6" ht="48.95" customHeight="1">
      <c r="B199" s="3"/>
      <c r="C199" s="3" t="s">
        <v>478</v>
      </c>
      <c r="D199" s="4" t="s">
        <v>479</v>
      </c>
      <c r="E199" s="9">
        <v>12</v>
      </c>
      <c r="F199" s="4" t="s">
        <v>480</v>
      </c>
    </row>
    <row r="200" spans="2:6" ht="48.95" customHeight="1">
      <c r="B200" s="3"/>
      <c r="C200" s="3" t="s">
        <v>481</v>
      </c>
      <c r="D200" s="4" t="s">
        <v>482</v>
      </c>
      <c r="E200" s="9">
        <v>9</v>
      </c>
      <c r="F200" s="4" t="s">
        <v>483</v>
      </c>
    </row>
    <row r="201" spans="2:6" ht="30" customHeight="1">
      <c r="B201" s="2"/>
      <c r="C201" s="2"/>
      <c r="D201" s="2"/>
      <c r="E201" s="10"/>
      <c r="F201" s="2"/>
    </row>
    <row r="202" spans="2:6" ht="30" customHeight="1">
      <c r="B202" s="6" t="s">
        <v>39</v>
      </c>
      <c r="C202" s="6" t="s">
        <v>484</v>
      </c>
      <c r="D202" s="7" t="s">
        <v>46</v>
      </c>
      <c r="E202" s="8">
        <f>SUM(E203:E211)</f>
        <v>56</v>
      </c>
      <c r="F202" s="7" t="s">
        <v>104</v>
      </c>
    </row>
    <row r="203" spans="2:6" ht="48.95" customHeight="1">
      <c r="B203" s="3"/>
      <c r="C203" s="3" t="s">
        <v>485</v>
      </c>
      <c r="D203" s="4" t="s">
        <v>486</v>
      </c>
      <c r="E203" s="9">
        <v>7</v>
      </c>
      <c r="F203" s="4" t="s">
        <v>487</v>
      </c>
    </row>
    <row r="204" spans="2:6" ht="48.95" customHeight="1">
      <c r="B204" s="3"/>
      <c r="C204" s="3" t="s">
        <v>488</v>
      </c>
      <c r="D204" s="4" t="s">
        <v>489</v>
      </c>
      <c r="E204" s="9">
        <v>3</v>
      </c>
      <c r="F204" s="4" t="s">
        <v>490</v>
      </c>
    </row>
    <row r="205" spans="2:6" ht="48.95" customHeight="1">
      <c r="B205" s="3"/>
      <c r="C205" s="3" t="s">
        <v>491</v>
      </c>
      <c r="D205" s="4" t="s">
        <v>492</v>
      </c>
      <c r="E205" s="9">
        <v>6</v>
      </c>
      <c r="F205" s="4" t="s">
        <v>493</v>
      </c>
    </row>
    <row r="206" spans="2:6" ht="48.95" customHeight="1">
      <c r="B206" s="3"/>
      <c r="C206" s="3" t="s">
        <v>494</v>
      </c>
      <c r="D206" s="4" t="s">
        <v>495</v>
      </c>
      <c r="E206" s="9">
        <v>5</v>
      </c>
      <c r="F206" s="4" t="s">
        <v>496</v>
      </c>
    </row>
    <row r="207" spans="2:6" ht="48.95" customHeight="1">
      <c r="B207" s="3"/>
      <c r="C207" s="3" t="s">
        <v>497</v>
      </c>
      <c r="D207" s="4" t="s">
        <v>498</v>
      </c>
      <c r="E207" s="9">
        <v>5</v>
      </c>
      <c r="F207" s="4" t="s">
        <v>499</v>
      </c>
    </row>
    <row r="208" spans="2:6" ht="48.95" customHeight="1">
      <c r="B208" s="3"/>
      <c r="C208" s="3" t="s">
        <v>500</v>
      </c>
      <c r="D208" s="4" t="s">
        <v>501</v>
      </c>
      <c r="E208" s="9">
        <v>6</v>
      </c>
      <c r="F208" s="4" t="s">
        <v>502</v>
      </c>
    </row>
    <row r="209" spans="2:6" ht="48.95" customHeight="1">
      <c r="B209" s="3"/>
      <c r="C209" s="3" t="s">
        <v>503</v>
      </c>
      <c r="D209" s="4" t="s">
        <v>504</v>
      </c>
      <c r="E209" s="9">
        <v>8</v>
      </c>
      <c r="F209" s="4" t="s">
        <v>505</v>
      </c>
    </row>
    <row r="210" spans="2:6" ht="48.95" customHeight="1">
      <c r="B210" s="3"/>
      <c r="C210" s="3" t="s">
        <v>506</v>
      </c>
      <c r="D210" s="4" t="s">
        <v>507</v>
      </c>
      <c r="E210" s="9">
        <v>4</v>
      </c>
      <c r="F210" s="4" t="s">
        <v>508</v>
      </c>
    </row>
    <row r="211" spans="2:6" ht="63.95" customHeight="1">
      <c r="B211" s="3"/>
      <c r="C211" s="3" t="s">
        <v>509</v>
      </c>
      <c r="D211" s="4" t="s">
        <v>510</v>
      </c>
      <c r="E211" s="9">
        <v>12</v>
      </c>
      <c r="F211" s="4" t="s">
        <v>511</v>
      </c>
    </row>
    <row r="212" spans="2:6" ht="30" customHeight="1">
      <c r="B212" s="2"/>
      <c r="C212" s="2"/>
      <c r="D212" s="2"/>
      <c r="E212" s="10"/>
      <c r="F212" s="2"/>
    </row>
    <row r="213" spans="2:6" ht="30" customHeight="1">
      <c r="B213" s="40" t="s">
        <v>512</v>
      </c>
      <c r="C213" s="38"/>
      <c r="D213" s="38"/>
      <c r="E213" s="38"/>
      <c r="F213" s="38"/>
    </row>
    <row r="214" spans="2:6" ht="30" customHeight="1">
      <c r="B214" s="6" t="s">
        <v>47</v>
      </c>
      <c r="C214" s="6" t="s">
        <v>513</v>
      </c>
      <c r="D214" s="7" t="s">
        <v>49</v>
      </c>
      <c r="E214" s="8">
        <f>SUM(E215:E221)</f>
        <v>60</v>
      </c>
      <c r="F214" s="7" t="s">
        <v>104</v>
      </c>
    </row>
    <row r="215" spans="2:6" ht="48.95" customHeight="1">
      <c r="B215" s="3"/>
      <c r="C215" s="3" t="s">
        <v>514</v>
      </c>
      <c r="D215" s="4" t="s">
        <v>515</v>
      </c>
      <c r="E215" s="9">
        <v>12</v>
      </c>
      <c r="F215" s="4" t="s">
        <v>516</v>
      </c>
    </row>
    <row r="216" spans="2:6" ht="48.95" customHeight="1">
      <c r="B216" s="3"/>
      <c r="C216" s="3" t="s">
        <v>517</v>
      </c>
      <c r="D216" s="4" t="s">
        <v>518</v>
      </c>
      <c r="E216" s="9">
        <v>12</v>
      </c>
      <c r="F216" s="4" t="s">
        <v>519</v>
      </c>
    </row>
    <row r="217" spans="2:6" ht="48.95" customHeight="1">
      <c r="B217" s="3"/>
      <c r="C217" s="3" t="s">
        <v>520</v>
      </c>
      <c r="D217" s="4" t="s">
        <v>521</v>
      </c>
      <c r="E217" s="9">
        <v>5</v>
      </c>
      <c r="F217" s="4" t="s">
        <v>522</v>
      </c>
    </row>
    <row r="218" spans="2:6" ht="48.95" customHeight="1">
      <c r="B218" s="3"/>
      <c r="C218" s="3" t="s">
        <v>523</v>
      </c>
      <c r="D218" s="4" t="s">
        <v>524</v>
      </c>
      <c r="E218" s="9">
        <v>7</v>
      </c>
      <c r="F218" s="4" t="s">
        <v>525</v>
      </c>
    </row>
    <row r="219" spans="2:6" ht="48.95" customHeight="1">
      <c r="B219" s="3"/>
      <c r="C219" s="3" t="s">
        <v>526</v>
      </c>
      <c r="D219" s="4" t="s">
        <v>527</v>
      </c>
      <c r="E219" s="9">
        <v>7</v>
      </c>
      <c r="F219" s="4" t="s">
        <v>528</v>
      </c>
    </row>
    <row r="220" spans="2:6" ht="33.950000000000003" customHeight="1">
      <c r="B220" s="3"/>
      <c r="C220" s="3" t="s">
        <v>529</v>
      </c>
      <c r="D220" s="4" t="s">
        <v>530</v>
      </c>
      <c r="E220" s="9">
        <v>12</v>
      </c>
      <c r="F220" s="4" t="s">
        <v>531</v>
      </c>
    </row>
    <row r="221" spans="2:6" ht="48.95" customHeight="1">
      <c r="B221" s="3"/>
      <c r="C221" s="3" t="s">
        <v>532</v>
      </c>
      <c r="D221" s="4" t="s">
        <v>533</v>
      </c>
      <c r="E221" s="9">
        <v>5</v>
      </c>
      <c r="F221" s="4" t="s">
        <v>534</v>
      </c>
    </row>
    <row r="222" spans="2:6" ht="30" customHeight="1">
      <c r="B222" s="2"/>
      <c r="C222" s="2"/>
      <c r="D222" s="2"/>
      <c r="E222" s="10"/>
      <c r="F222" s="2"/>
    </row>
    <row r="223" spans="2:6" ht="30" customHeight="1">
      <c r="B223" s="6" t="s">
        <v>47</v>
      </c>
      <c r="C223" s="6" t="s">
        <v>535</v>
      </c>
      <c r="D223" s="7" t="s">
        <v>50</v>
      </c>
      <c r="E223" s="8">
        <f>SUM(E224:E231)</f>
        <v>46</v>
      </c>
      <c r="F223" s="7" t="s">
        <v>104</v>
      </c>
    </row>
    <row r="224" spans="2:6" ht="48.95" customHeight="1">
      <c r="B224" s="3"/>
      <c r="C224" s="3">
        <v>19.100000000000001</v>
      </c>
      <c r="D224" s="4" t="s">
        <v>536</v>
      </c>
      <c r="E224" s="9">
        <v>6</v>
      </c>
      <c r="F224" s="4" t="s">
        <v>537</v>
      </c>
    </row>
    <row r="225" spans="2:6" ht="48.95" customHeight="1">
      <c r="B225" s="3"/>
      <c r="C225" s="3">
        <v>19.2</v>
      </c>
      <c r="D225" s="4" t="s">
        <v>538</v>
      </c>
      <c r="E225" s="9">
        <v>7</v>
      </c>
      <c r="F225" s="4" t="s">
        <v>539</v>
      </c>
    </row>
    <row r="226" spans="2:6" ht="48.95" customHeight="1">
      <c r="B226" s="3"/>
      <c r="C226" s="3">
        <v>19.3</v>
      </c>
      <c r="D226" s="4" t="s">
        <v>540</v>
      </c>
      <c r="E226" s="9">
        <v>5</v>
      </c>
      <c r="F226" s="4" t="s">
        <v>541</v>
      </c>
    </row>
    <row r="227" spans="2:6" ht="48.95" customHeight="1">
      <c r="B227" s="3"/>
      <c r="C227" s="3">
        <v>19.399999999999999</v>
      </c>
      <c r="D227" s="4" t="s">
        <v>542</v>
      </c>
      <c r="E227" s="9">
        <v>5</v>
      </c>
      <c r="F227" s="4" t="s">
        <v>543</v>
      </c>
    </row>
    <row r="228" spans="2:6" ht="48.95" customHeight="1">
      <c r="B228" s="3"/>
      <c r="C228" s="3">
        <v>19.5</v>
      </c>
      <c r="D228" s="4" t="s">
        <v>544</v>
      </c>
      <c r="E228" s="9">
        <v>4</v>
      </c>
      <c r="F228" s="4" t="s">
        <v>545</v>
      </c>
    </row>
    <row r="229" spans="2:6" ht="48.95" customHeight="1">
      <c r="B229" s="3"/>
      <c r="C229" s="3">
        <v>19.600000000000001</v>
      </c>
      <c r="D229" s="4" t="s">
        <v>546</v>
      </c>
      <c r="E229" s="9">
        <v>7</v>
      </c>
      <c r="F229" s="4" t="s">
        <v>547</v>
      </c>
    </row>
    <row r="230" spans="2:6" ht="48.95" customHeight="1">
      <c r="B230" s="3"/>
      <c r="C230" s="3">
        <v>19.7</v>
      </c>
      <c r="D230" s="4" t="s">
        <v>548</v>
      </c>
      <c r="E230" s="9">
        <v>6</v>
      </c>
      <c r="F230" s="4" t="s">
        <v>549</v>
      </c>
    </row>
    <row r="231" spans="2:6" ht="48.95" customHeight="1">
      <c r="B231" s="3"/>
      <c r="C231" s="3">
        <v>19.8</v>
      </c>
      <c r="D231" s="4" t="s">
        <v>550</v>
      </c>
      <c r="E231" s="9">
        <v>6</v>
      </c>
      <c r="F231" s="4" t="s">
        <v>551</v>
      </c>
    </row>
    <row r="232" spans="2:6" ht="30" customHeight="1">
      <c r="B232" s="2"/>
      <c r="C232" s="2"/>
      <c r="D232" s="2"/>
      <c r="E232" s="10"/>
      <c r="F232" s="2"/>
    </row>
    <row r="233" spans="2:6" ht="33.950000000000003" customHeight="1">
      <c r="B233" s="42" t="s">
        <v>552</v>
      </c>
      <c r="C233" s="43"/>
      <c r="D233" s="43"/>
      <c r="E233" s="28">
        <f>SUM(E47,E54,E63,E73,E82,E89,E99,E110,E121,E132,E142,E152,E163,E175,E184,E193,E202,E214,E223)</f>
        <v>834</v>
      </c>
      <c r="F233" s="29"/>
    </row>
    <row r="234" spans="2:6">
      <c r="B234" s="2"/>
      <c r="C234" s="2"/>
      <c r="D234" s="2"/>
      <c r="E234" s="10"/>
      <c r="F234" s="2"/>
    </row>
    <row r="235" spans="2:6">
      <c r="B235" s="39" t="s">
        <v>553</v>
      </c>
      <c r="C235" s="38"/>
      <c r="D235" s="38"/>
      <c r="E235" s="38"/>
      <c r="F235" s="38"/>
    </row>
    <row r="236" spans="2:6">
      <c r="B236" s="6" t="s">
        <v>554</v>
      </c>
      <c r="C236" s="6">
        <v>20</v>
      </c>
      <c r="D236" s="7" t="s">
        <v>53</v>
      </c>
      <c r="E236" s="8">
        <f>SUM(E237:E250)</f>
        <v>46</v>
      </c>
      <c r="F236" s="7"/>
    </row>
    <row r="237" spans="2:6" ht="60" customHeight="1">
      <c r="B237" s="3"/>
      <c r="C237" s="3">
        <v>20.100000000000001</v>
      </c>
      <c r="D237" s="4" t="s">
        <v>555</v>
      </c>
      <c r="E237" s="9">
        <v>3</v>
      </c>
      <c r="F237" s="4" t="s">
        <v>556</v>
      </c>
    </row>
    <row r="238" spans="2:6" ht="60" customHeight="1">
      <c r="B238" s="3"/>
      <c r="C238" s="3">
        <v>20.2</v>
      </c>
      <c r="D238" s="4" t="s">
        <v>557</v>
      </c>
      <c r="E238" s="9">
        <v>6</v>
      </c>
      <c r="F238" s="4" t="s">
        <v>558</v>
      </c>
    </row>
    <row r="239" spans="2:6" ht="60" customHeight="1">
      <c r="B239" s="3"/>
      <c r="C239" s="3">
        <v>20.3</v>
      </c>
      <c r="D239" s="4" t="s">
        <v>559</v>
      </c>
      <c r="E239" s="9">
        <v>5</v>
      </c>
      <c r="F239" s="4" t="s">
        <v>560</v>
      </c>
    </row>
    <row r="240" spans="2:6" ht="60" customHeight="1">
      <c r="B240" s="3"/>
      <c r="C240" s="3">
        <v>20.399999999999999</v>
      </c>
      <c r="D240" s="4" t="s">
        <v>561</v>
      </c>
      <c r="E240" s="9">
        <v>3</v>
      </c>
      <c r="F240" s="4" t="s">
        <v>562</v>
      </c>
    </row>
    <row r="241" spans="2:6" ht="60" customHeight="1">
      <c r="B241" s="3"/>
      <c r="C241" s="3">
        <v>20.5</v>
      </c>
      <c r="D241" s="4" t="s">
        <v>563</v>
      </c>
      <c r="E241" s="9">
        <v>4</v>
      </c>
      <c r="F241" s="4" t="s">
        <v>564</v>
      </c>
    </row>
    <row r="242" spans="2:6" ht="60" customHeight="1">
      <c r="B242" s="3"/>
      <c r="C242" s="3">
        <v>20.6</v>
      </c>
      <c r="D242" s="4" t="s">
        <v>565</v>
      </c>
      <c r="E242" s="9">
        <v>3</v>
      </c>
      <c r="F242" s="4" t="s">
        <v>566</v>
      </c>
    </row>
    <row r="243" spans="2:6" ht="60" customHeight="1">
      <c r="B243" s="3"/>
      <c r="C243" s="3">
        <v>20.7</v>
      </c>
      <c r="D243" s="4" t="s">
        <v>567</v>
      </c>
      <c r="E243" s="9">
        <v>4</v>
      </c>
      <c r="F243" s="4" t="s">
        <v>568</v>
      </c>
    </row>
    <row r="244" spans="2:6" ht="60" customHeight="1">
      <c r="B244" s="3"/>
      <c r="C244" s="3">
        <v>20.8</v>
      </c>
      <c r="D244" s="4" t="s">
        <v>569</v>
      </c>
      <c r="E244" s="9">
        <v>3</v>
      </c>
      <c r="F244" s="4" t="s">
        <v>570</v>
      </c>
    </row>
    <row r="245" spans="2:6" ht="60" customHeight="1">
      <c r="B245" s="3"/>
      <c r="C245" s="3">
        <v>20.9</v>
      </c>
      <c r="D245" s="4" t="s">
        <v>571</v>
      </c>
      <c r="E245" s="9">
        <v>4</v>
      </c>
      <c r="F245" s="4" t="s">
        <v>572</v>
      </c>
    </row>
    <row r="246" spans="2:6" ht="60" customHeight="1">
      <c r="B246" s="3"/>
      <c r="C246" s="3" t="s">
        <v>573</v>
      </c>
      <c r="D246" s="4" t="s">
        <v>574</v>
      </c>
      <c r="E246" s="9">
        <v>3</v>
      </c>
      <c r="F246" s="4" t="s">
        <v>575</v>
      </c>
    </row>
    <row r="247" spans="2:6" ht="60" customHeight="1">
      <c r="B247" s="3"/>
      <c r="C247" s="3">
        <v>20.11</v>
      </c>
      <c r="D247" s="4" t="s">
        <v>576</v>
      </c>
      <c r="E247" s="9">
        <v>2</v>
      </c>
      <c r="F247" s="4" t="s">
        <v>577</v>
      </c>
    </row>
    <row r="248" spans="2:6" ht="75" customHeight="1">
      <c r="B248" s="3"/>
      <c r="C248" s="3">
        <v>20.12</v>
      </c>
      <c r="D248" s="4" t="s">
        <v>578</v>
      </c>
      <c r="E248" s="9">
        <v>3</v>
      </c>
      <c r="F248" s="4" t="s">
        <v>579</v>
      </c>
    </row>
    <row r="249" spans="2:6" ht="60" customHeight="1">
      <c r="B249" s="3"/>
      <c r="C249" s="3">
        <v>20.13</v>
      </c>
      <c r="D249" s="4" t="s">
        <v>580</v>
      </c>
      <c r="E249" s="9">
        <v>2</v>
      </c>
      <c r="F249" s="4" t="s">
        <v>581</v>
      </c>
    </row>
    <row r="250" spans="2:6" ht="45" customHeight="1">
      <c r="B250" s="3"/>
      <c r="C250" s="3">
        <v>20.14</v>
      </c>
      <c r="D250" s="4" t="s">
        <v>582</v>
      </c>
      <c r="E250" s="9">
        <v>1</v>
      </c>
      <c r="F250" s="4" t="s">
        <v>583</v>
      </c>
    </row>
    <row r="251" spans="2:6" ht="15.75" customHeight="1">
      <c r="B251" s="42" t="s">
        <v>51</v>
      </c>
      <c r="C251" s="43"/>
      <c r="D251" s="43"/>
      <c r="E251" s="26">
        <f>E233</f>
        <v>834</v>
      </c>
      <c r="F251" t="s">
        <v>584</v>
      </c>
    </row>
    <row r="252" spans="2:6" ht="15.75" customHeight="1">
      <c r="B252" s="42" t="s">
        <v>585</v>
      </c>
      <c r="C252" s="43"/>
      <c r="D252" s="43"/>
      <c r="E252" s="26">
        <f>E236</f>
        <v>46</v>
      </c>
    </row>
    <row r="253" spans="2:6" ht="15.75" customHeight="1">
      <c r="B253" s="42" t="s">
        <v>673</v>
      </c>
      <c r="C253" s="43"/>
      <c r="D253" s="43"/>
      <c r="E253" s="26">
        <f>E30+E251+E252</f>
        <v>980</v>
      </c>
    </row>
  </sheetData>
  <mergeCells count="20">
    <mergeCell ref="B253:D253"/>
    <mergeCell ref="B72:F72"/>
    <mergeCell ref="B141:F141"/>
    <mergeCell ref="B46:F46"/>
    <mergeCell ref="B44:D44"/>
    <mergeCell ref="B251:D251"/>
    <mergeCell ref="B252:D252"/>
    <mergeCell ref="B2:F2"/>
    <mergeCell ref="B235:F235"/>
    <mergeCell ref="B98:F98"/>
    <mergeCell ref="B1:F1"/>
    <mergeCell ref="B24:D24"/>
    <mergeCell ref="B45:D45"/>
    <mergeCell ref="B28:F28"/>
    <mergeCell ref="B26:D26"/>
    <mergeCell ref="B174:F174"/>
    <mergeCell ref="B233:D233"/>
    <mergeCell ref="B213:F213"/>
    <mergeCell ref="B43:D43"/>
    <mergeCell ref="B42:D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showGridLines="0" workbookViewId="0">
      <pane ySplit="3" topLeftCell="A4" activePane="bottomLeft" state="frozen"/>
      <selection pane="bottomLeft" activeCell="C8" sqref="C8"/>
    </sheetView>
  </sheetViews>
  <sheetFormatPr defaultRowHeight="15"/>
  <cols>
    <col min="1" max="1" width="34" customWidth="1"/>
    <col min="2" max="2" width="24" customWidth="1"/>
    <col min="3" max="3" width="70" customWidth="1"/>
    <col min="4" max="4" width="32" customWidth="1"/>
    <col min="5" max="5" width="18" customWidth="1"/>
    <col min="6" max="6" width="20" customWidth="1"/>
    <col min="7" max="7" width="22" customWidth="1"/>
    <col min="8" max="8" width="42" customWidth="1"/>
  </cols>
  <sheetData>
    <row r="1" spans="1:8" ht="27.95" customHeight="1">
      <c r="A1" s="49" t="s">
        <v>586</v>
      </c>
      <c r="B1" s="38"/>
      <c r="C1" s="38"/>
      <c r="D1" s="38"/>
      <c r="E1" s="38"/>
      <c r="F1" s="38"/>
      <c r="G1" s="38"/>
      <c r="H1" s="38"/>
    </row>
    <row r="2" spans="1:8" ht="33.950000000000003" customHeight="1">
      <c r="A2" s="37" t="s">
        <v>587</v>
      </c>
      <c r="B2" s="38"/>
      <c r="C2" s="38"/>
      <c r="D2" s="38"/>
      <c r="E2" s="38"/>
      <c r="F2" s="38"/>
      <c r="G2" s="38"/>
      <c r="H2" s="38"/>
    </row>
    <row r="4" spans="1:8" ht="30.75" thickBot="1">
      <c r="A4" s="19" t="s">
        <v>588</v>
      </c>
      <c r="B4" s="19" t="s">
        <v>589</v>
      </c>
      <c r="C4" s="19" t="s">
        <v>590</v>
      </c>
      <c r="D4" s="19" t="s">
        <v>591</v>
      </c>
      <c r="E4" s="19" t="s">
        <v>592</v>
      </c>
      <c r="F4" s="19" t="s">
        <v>593</v>
      </c>
      <c r="G4" s="19" t="s">
        <v>594</v>
      </c>
      <c r="H4" s="19" t="s">
        <v>59</v>
      </c>
    </row>
    <row r="5" spans="1:8" ht="24.75" thickBot="1">
      <c r="A5" s="52" t="s">
        <v>597</v>
      </c>
      <c r="B5" s="52" t="s">
        <v>595</v>
      </c>
      <c r="C5" s="54" t="s">
        <v>674</v>
      </c>
      <c r="D5" s="52" t="s">
        <v>598</v>
      </c>
      <c r="E5" s="52">
        <v>417</v>
      </c>
      <c r="F5" s="20"/>
      <c r="G5" s="53"/>
      <c r="H5" s="52" t="s">
        <v>596</v>
      </c>
    </row>
    <row r="6" spans="1:8" ht="24.75" thickBot="1">
      <c r="A6" s="52" t="s">
        <v>597</v>
      </c>
      <c r="B6" s="52" t="s">
        <v>595</v>
      </c>
      <c r="C6" s="54" t="s">
        <v>675</v>
      </c>
      <c r="D6" s="52" t="s">
        <v>598</v>
      </c>
      <c r="E6" s="52">
        <v>417</v>
      </c>
      <c r="F6" s="20"/>
      <c r="G6" s="53"/>
      <c r="H6" s="52" t="s">
        <v>599</v>
      </c>
    </row>
    <row r="7" spans="1:8" ht="51">
      <c r="A7" s="52" t="s">
        <v>600</v>
      </c>
      <c r="B7" s="52" t="s">
        <v>601</v>
      </c>
      <c r="C7" s="52" t="s">
        <v>602</v>
      </c>
      <c r="D7" s="52" t="s">
        <v>603</v>
      </c>
      <c r="E7" s="52">
        <v>100</v>
      </c>
      <c r="F7" s="20"/>
      <c r="G7" s="53"/>
      <c r="H7" s="52"/>
    </row>
    <row r="8" spans="1:8" ht="63.75">
      <c r="A8" s="52" t="s">
        <v>604</v>
      </c>
      <c r="B8" s="52" t="s">
        <v>605</v>
      </c>
      <c r="C8" s="52" t="s">
        <v>606</v>
      </c>
      <c r="D8" s="52" t="s">
        <v>607</v>
      </c>
      <c r="E8" s="52">
        <v>46</v>
      </c>
      <c r="F8" s="20"/>
      <c r="G8" s="53"/>
      <c r="H8" s="52" t="s">
        <v>608</v>
      </c>
    </row>
    <row r="9" spans="1:8" ht="60">
      <c r="A9" s="46" t="s">
        <v>609</v>
      </c>
      <c r="B9" s="47"/>
      <c r="C9" s="47"/>
      <c r="D9" s="47"/>
      <c r="E9" s="15">
        <f>SUM(E5:E8)</f>
        <v>980</v>
      </c>
      <c r="F9" s="15"/>
      <c r="G9" s="21">
        <f>SUM(G5:G8)</f>
        <v>0</v>
      </c>
      <c r="H9" s="15" t="s">
        <v>610</v>
      </c>
    </row>
    <row r="12" spans="1:8">
      <c r="A12" s="51" t="s">
        <v>611</v>
      </c>
      <c r="B12" s="38"/>
      <c r="C12" s="38"/>
      <c r="D12" s="38"/>
      <c r="E12" s="38"/>
      <c r="F12" s="38"/>
      <c r="G12" s="38"/>
      <c r="H12" s="38"/>
    </row>
    <row r="13" spans="1:8">
      <c r="A13" s="22" t="s">
        <v>2</v>
      </c>
      <c r="B13" s="22" t="s">
        <v>612</v>
      </c>
      <c r="C13" s="22" t="s">
        <v>58</v>
      </c>
      <c r="D13" s="22" t="s">
        <v>613</v>
      </c>
      <c r="E13" s="22" t="s">
        <v>614</v>
      </c>
      <c r="F13" s="22" t="s">
        <v>594</v>
      </c>
      <c r="G13" s="60" t="s">
        <v>615</v>
      </c>
      <c r="H13" s="22" t="s">
        <v>59</v>
      </c>
    </row>
    <row r="14" spans="1:8" ht="140.25">
      <c r="A14" s="52" t="s">
        <v>616</v>
      </c>
      <c r="B14" s="52" t="s">
        <v>617</v>
      </c>
      <c r="C14" s="55">
        <v>100</v>
      </c>
      <c r="D14" s="52" t="s">
        <v>618</v>
      </c>
      <c r="E14" s="57"/>
      <c r="F14" s="58"/>
      <c r="G14" s="52" t="s">
        <v>619</v>
      </c>
      <c r="H14" s="52" t="s">
        <v>620</v>
      </c>
    </row>
    <row r="15" spans="1:8" ht="51">
      <c r="A15" s="52" t="s">
        <v>102</v>
      </c>
      <c r="B15" s="52" t="s">
        <v>621</v>
      </c>
      <c r="C15" s="55">
        <v>138</v>
      </c>
      <c r="D15" s="52" t="s">
        <v>622</v>
      </c>
      <c r="E15" s="57"/>
      <c r="F15" s="58"/>
      <c r="G15" s="52" t="s">
        <v>623</v>
      </c>
      <c r="H15" s="52"/>
    </row>
    <row r="16" spans="1:8" ht="38.25">
      <c r="A16" s="52" t="s">
        <v>624</v>
      </c>
      <c r="B16" s="52" t="s">
        <v>625</v>
      </c>
      <c r="C16" s="55">
        <v>84</v>
      </c>
      <c r="D16" s="52" t="s">
        <v>622</v>
      </c>
      <c r="E16" s="57"/>
      <c r="F16" s="58"/>
      <c r="G16" s="52" t="s">
        <v>626</v>
      </c>
      <c r="H16" s="52"/>
    </row>
    <row r="17" spans="1:8" ht="76.5">
      <c r="A17" s="52" t="s">
        <v>627</v>
      </c>
      <c r="B17" s="52" t="s">
        <v>628</v>
      </c>
      <c r="C17" s="55">
        <v>188</v>
      </c>
      <c r="D17" s="52" t="s">
        <v>622</v>
      </c>
      <c r="E17" s="57"/>
      <c r="F17" s="58"/>
      <c r="G17" s="52" t="s">
        <v>629</v>
      </c>
      <c r="H17" s="52"/>
    </row>
    <row r="18" spans="1:8" ht="51">
      <c r="A18" s="52" t="s">
        <v>630</v>
      </c>
      <c r="B18" s="52" t="s">
        <v>631</v>
      </c>
      <c r="C18" s="55">
        <v>154</v>
      </c>
      <c r="D18" s="52" t="s">
        <v>622</v>
      </c>
      <c r="E18" s="57"/>
      <c r="F18" s="58"/>
      <c r="G18" s="52" t="s">
        <v>632</v>
      </c>
      <c r="H18" s="52"/>
    </row>
    <row r="19" spans="1:8" ht="51">
      <c r="A19" s="52" t="s">
        <v>633</v>
      </c>
      <c r="B19" s="52" t="s">
        <v>634</v>
      </c>
      <c r="C19" s="55">
        <v>164</v>
      </c>
      <c r="D19" s="52" t="s">
        <v>622</v>
      </c>
      <c r="E19" s="57"/>
      <c r="F19" s="58"/>
      <c r="G19" s="52" t="s">
        <v>635</v>
      </c>
      <c r="H19" s="52"/>
    </row>
    <row r="20" spans="1:8" ht="38.25">
      <c r="A20" s="52" t="s">
        <v>636</v>
      </c>
      <c r="B20" s="52" t="s">
        <v>637</v>
      </c>
      <c r="C20" s="55">
        <v>106</v>
      </c>
      <c r="D20" s="52" t="s">
        <v>622</v>
      </c>
      <c r="E20" s="57"/>
      <c r="F20" s="58"/>
      <c r="G20" s="52" t="s">
        <v>638</v>
      </c>
      <c r="H20" s="52"/>
    </row>
    <row r="21" spans="1:8" ht="51.75" thickBot="1">
      <c r="A21" s="52" t="s">
        <v>676</v>
      </c>
      <c r="B21" s="52" t="s">
        <v>639</v>
      </c>
      <c r="C21" s="55">
        <v>46</v>
      </c>
      <c r="D21" s="52" t="s">
        <v>640</v>
      </c>
      <c r="E21" s="57"/>
      <c r="F21" s="58"/>
      <c r="G21" s="52" t="s">
        <v>641</v>
      </c>
      <c r="H21" s="52" t="s">
        <v>642</v>
      </c>
    </row>
    <row r="22" spans="1:8" ht="75">
      <c r="A22" s="50" t="s">
        <v>643</v>
      </c>
      <c r="B22" s="47"/>
      <c r="C22" s="56">
        <f>SUM(C14:C21)</f>
        <v>980</v>
      </c>
      <c r="D22" s="23"/>
      <c r="E22" s="56"/>
      <c r="F22" s="59"/>
      <c r="G22" s="23"/>
      <c r="H22" s="23" t="s">
        <v>644</v>
      </c>
    </row>
  </sheetData>
  <mergeCells count="5">
    <mergeCell ref="A1:H1"/>
    <mergeCell ref="A22:B22"/>
    <mergeCell ref="A2:H2"/>
    <mergeCell ref="A12:H12"/>
    <mergeCell ref="A9:D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showGridLines="0" workbookViewId="0">
      <pane ySplit="3" topLeftCell="A4" activePane="bottomLeft" state="frozen"/>
      <selection pane="bottomLeft" activeCell="C6" sqref="C6"/>
    </sheetView>
  </sheetViews>
  <sheetFormatPr defaultRowHeight="15"/>
  <cols>
    <col min="1" max="1" width="24" customWidth="1"/>
    <col min="2" max="2" width="38" customWidth="1"/>
    <col min="3" max="3" width="48" customWidth="1"/>
    <col min="4" max="5" width="18" customWidth="1"/>
    <col min="6" max="6" width="22" customWidth="1"/>
    <col min="7" max="7" width="48" customWidth="1"/>
    <col min="8" max="8" width="42" customWidth="1"/>
  </cols>
  <sheetData>
    <row r="1" spans="1:8" ht="27.95" customHeight="1">
      <c r="A1" s="49" t="s">
        <v>645</v>
      </c>
      <c r="B1" s="38"/>
      <c r="C1" s="38"/>
      <c r="D1" s="38"/>
      <c r="E1" s="38"/>
      <c r="F1" s="38"/>
      <c r="G1" s="38"/>
      <c r="H1" s="38"/>
    </row>
    <row r="2" spans="1:8" ht="32.1" customHeight="1">
      <c r="A2" s="37" t="s">
        <v>646</v>
      </c>
      <c r="B2" s="38"/>
      <c r="C2" s="38"/>
      <c r="D2" s="38"/>
      <c r="E2" s="38"/>
      <c r="F2" s="38"/>
      <c r="G2" s="38"/>
      <c r="H2" s="38"/>
    </row>
    <row r="4" spans="1:8">
      <c r="A4" s="19" t="s">
        <v>647</v>
      </c>
      <c r="B4" s="19" t="s">
        <v>648</v>
      </c>
      <c r="C4" s="19" t="s">
        <v>649</v>
      </c>
      <c r="D4" s="19" t="s">
        <v>650</v>
      </c>
      <c r="E4" s="19" t="s">
        <v>651</v>
      </c>
      <c r="F4" s="19" t="s">
        <v>652</v>
      </c>
      <c r="G4" s="19" t="s">
        <v>59</v>
      </c>
      <c r="H4" s="19" t="s">
        <v>653</v>
      </c>
    </row>
    <row r="5" spans="1:8" ht="45">
      <c r="A5" s="61" t="s">
        <v>654</v>
      </c>
      <c r="B5" s="61" t="s">
        <v>655</v>
      </c>
      <c r="C5" s="61" t="s">
        <v>656</v>
      </c>
      <c r="D5" s="62">
        <v>20</v>
      </c>
      <c r="E5" s="62">
        <v>240</v>
      </c>
      <c r="F5" s="61" t="s">
        <v>657</v>
      </c>
      <c r="G5" s="61" t="s">
        <v>658</v>
      </c>
      <c r="H5" s="63" t="s">
        <v>659</v>
      </c>
    </row>
    <row r="6" spans="1:8" ht="105">
      <c r="A6" s="61" t="s">
        <v>660</v>
      </c>
      <c r="B6" s="61" t="s">
        <v>661</v>
      </c>
      <c r="C6" s="2" t="s">
        <v>679</v>
      </c>
      <c r="D6" s="62">
        <v>20</v>
      </c>
      <c r="E6" s="62">
        <v>240</v>
      </c>
      <c r="F6" s="2" t="s">
        <v>680</v>
      </c>
      <c r="G6" s="65" t="s">
        <v>681</v>
      </c>
      <c r="H6" s="66" t="s">
        <v>662</v>
      </c>
    </row>
    <row r="7" spans="1:8" ht="75">
      <c r="A7" s="61" t="s">
        <v>663</v>
      </c>
      <c r="B7" s="61" t="s">
        <v>664</v>
      </c>
      <c r="C7" s="61" t="s">
        <v>665</v>
      </c>
      <c r="D7" s="62">
        <v>175</v>
      </c>
      <c r="E7" s="62">
        <v>2100</v>
      </c>
      <c r="F7" s="61"/>
      <c r="G7" s="65" t="s">
        <v>683</v>
      </c>
      <c r="H7" s="66" t="s">
        <v>666</v>
      </c>
    </row>
    <row r="8" spans="1:8" ht="45">
      <c r="A8" s="61" t="s">
        <v>677</v>
      </c>
      <c r="B8" s="61" t="s">
        <v>667</v>
      </c>
      <c r="C8" s="61" t="s">
        <v>668</v>
      </c>
      <c r="D8" s="62">
        <v>20</v>
      </c>
      <c r="E8" s="62">
        <v>240</v>
      </c>
      <c r="F8" s="65"/>
      <c r="G8" s="65" t="s">
        <v>678</v>
      </c>
      <c r="H8" s="66"/>
    </row>
    <row r="9" spans="1:8" ht="30.75" thickBot="1">
      <c r="A9" s="61" t="s">
        <v>669</v>
      </c>
      <c r="B9" s="61" t="s">
        <v>670</v>
      </c>
      <c r="C9" s="61" t="s">
        <v>671</v>
      </c>
      <c r="D9" s="62">
        <v>2</v>
      </c>
      <c r="E9" s="62">
        <v>20</v>
      </c>
      <c r="F9" s="61" t="s">
        <v>672</v>
      </c>
      <c r="G9" s="67" t="s">
        <v>682</v>
      </c>
      <c r="H9" s="64"/>
    </row>
    <row r="10" spans="1:8">
      <c r="A10" s="50"/>
      <c r="B10" s="47"/>
      <c r="C10" s="47"/>
      <c r="D10" s="24">
        <f>SUM(D5:D9)</f>
        <v>237</v>
      </c>
      <c r="E10" s="24">
        <f>SUM(E5:E9)</f>
        <v>2840</v>
      </c>
      <c r="F10" s="50"/>
      <c r="G10" s="47"/>
      <c r="H10" s="47"/>
    </row>
  </sheetData>
  <mergeCells count="4">
    <mergeCell ref="F10:H10"/>
    <mergeCell ref="A2:H2"/>
    <mergeCell ref="A10:C10"/>
    <mergeCell ref="A1:H1"/>
  </mergeCells>
  <hyperlinks>
    <hyperlink ref="H7" r:id="rId1" xr:uid="{4E7D6E3D-30E1-42A2-9F6B-28DE3B071D73}"/>
    <hyperlink ref="H6" r:id="rId2" xr:uid="{98F6E175-4674-4245-9589-88CF9E99D703}"/>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MVP ETA</vt:lpstr>
      <vt:lpstr>Team Members</vt:lpstr>
      <vt:lpstr>Third-Party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Potenza</cp:lastModifiedBy>
  <dcterms:created xsi:type="dcterms:W3CDTF">2026-09-18T05:43:20Z</dcterms:created>
  <dcterms:modified xsi:type="dcterms:W3CDTF">2026-09-21T13:52:32Z</dcterms:modified>
</cp:coreProperties>
</file>